
<file path=[Content_Types].xml><?xml version="1.0" encoding="utf-8"?>
<Types xmlns="http://schemas.openxmlformats.org/package/2006/content-types">
  <Override PartName="/xl/activeX/activeX2.bin" ContentType="application/vnd.ms-office.activeX"/>
  <Override PartName="/xl/activeX/activeX4.bin" ContentType="application/vnd.ms-office.activeX"/>
  <Override PartName="/xl/activeX/activeX9.xml" ContentType="application/vnd.ms-office.activeX+xml"/>
  <Override PartName="/xl/activeX/activeX16.bin" ContentType="application/vnd.ms-office.activeX"/>
  <Override PartName="/xl/activeX/activeX25.bin" ContentType="application/vnd.ms-office.activeX"/>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14.bin" ContentType="application/vnd.ms-office.activeX"/>
  <Override PartName="/xl/activeX/activeX19.xml" ContentType="application/vnd.ms-office.activeX+xml"/>
  <Override PartName="/xl/activeX/activeX23.bin" ContentType="application/vnd.ms-office.activeX"/>
  <Override PartName="/xl/activeX/activeX5.xml" ContentType="application/vnd.ms-office.activeX+xml"/>
  <Override PartName="/xl/activeX/activeX12.bin" ContentType="application/vnd.ms-office.activeX"/>
  <Override PartName="/xl/activeX/activeX17.xml" ContentType="application/vnd.ms-office.activeX+xml"/>
  <Override PartName="/xl/activeX/activeX21.bin" ContentType="application/vnd.ms-office.activeX"/>
  <Override PartName="/xl/activeX/activeX28.xml" ContentType="application/vnd.ms-office.activeX+xml"/>
  <Override PartName="/xl/activeX/activeX30.bin" ContentType="application/vnd.ms-office.activeX"/>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drawings/drawing2.xml" ContentType="application/vnd.openxmlformats-officedocument.drawing+xml"/>
  <Override PartName="/xl/activeX/activeX3.xml" ContentType="application/vnd.ms-office.activeX+xml"/>
  <Override PartName="/xl/activeX/activeX10.bin" ContentType="application/vnd.ms-office.activeX"/>
  <Override PartName="/xl/activeX/activeX15.xml" ContentType="application/vnd.ms-office.activeX+xml"/>
  <Override PartName="/xl/activeX/activeX24.xml" ContentType="application/vnd.ms-office.activeX+xml"/>
  <Override PartName="/xl/activeX/activeX26.xml" ContentType="application/vnd.ms-office.activeX+xml"/>
  <Override PartName="/xl/worksheets/sheet3.xml" ContentType="application/vnd.openxmlformats-officedocument.spreadsheetml.worksheet+xml"/>
  <Override PartName="/xl/activeX/activeX1.xml" ContentType="application/vnd.ms-office.activeX+xml"/>
  <Override PartName="/xl/activeX/activeX13.xml" ContentType="application/vnd.ms-office.activeX+xml"/>
  <Override PartName="/xl/activeX/activeX22.xml" ContentType="application/vnd.ms-office.activeX+xml"/>
  <Override PartName="/xl/worksheets/sheet1.xml" ContentType="application/vnd.openxmlformats-officedocument.spreadsheetml.worksheet+xml"/>
  <Override PartName="/xl/activeX/activeX9.bin" ContentType="application/vnd.ms-office.activeX"/>
  <Override PartName="/xl/activeX/activeX11.xml" ContentType="application/vnd.ms-office.activeX+xml"/>
  <Override PartName="/xl/activeX/activeX20.xml" ContentType="application/vnd.ms-office.activeX+xml"/>
  <Override PartName="/xl/activeX/activeX31.xml" ContentType="application/vnd.ms-office.activeX+xml"/>
  <Override PartName="/xl/sharedStrings.xml" ContentType="application/vnd.openxmlformats-officedocument.spreadsheetml.sharedStrings+xml"/>
  <Override PartName="/xl/activeX/activeX7.bin" ContentType="application/vnd.ms-office.activeX"/>
  <Override PartName="/xl/activeX/activeX19.bin" ContentType="application/vnd.ms-office.activeX"/>
  <Override PartName="/xl/activeX/activeX5.bin" ContentType="application/vnd.ms-office.activeX"/>
  <Override PartName="/xl/activeX/activeX6.bin" ContentType="application/vnd.ms-office.activeX"/>
  <Override PartName="/xl/activeX/activeX17.bin" ContentType="application/vnd.ms-office.activeX"/>
  <Override PartName="/xl/activeX/activeX18.bin" ContentType="application/vnd.ms-office.activeX"/>
  <Override PartName="/xl/activeX/activeX27.bin" ContentType="application/vnd.ms-office.activeX"/>
  <Override PartName="/xl/activeX/activeX28.bin" ContentType="application/vnd.ms-office.activeX"/>
  <Override PartName="/docProps/core.xml" ContentType="application/vnd.openxmlformats-package.core-properties+xml"/>
  <Default Extension="bin" ContentType="application/vnd.openxmlformats-officedocument.spreadsheetml.printerSettings"/>
  <Override PartName="/xl/activeX/activeX3.bin" ContentType="application/vnd.ms-office.activeX"/>
  <Override PartName="/xl/activeX/activeX15.bin" ContentType="application/vnd.ms-office.activeX"/>
  <Override PartName="/xl/activeX/activeX26.bin" ContentType="application/vnd.ms-office.activeX"/>
  <Override PartName="/xl/activeX/activeX1.bin" ContentType="application/vnd.ms-office.activeX"/>
  <Override PartName="/xl/activeX/activeX8.xml" ContentType="application/vnd.ms-office.activeX+xml"/>
  <Override PartName="/xl/activeX/activeX13.bin" ContentType="application/vnd.ms-office.activeX"/>
  <Override PartName="/xl/activeX/activeX22.bin" ContentType="application/vnd.ms-office.activeX"/>
  <Override PartName="/xl/activeX/activeX24.bin" ContentType="application/vnd.ms-office.activeX"/>
  <Override PartName="/xl/activeX/activeX29.xml" ContentType="application/vnd.ms-office.activeX+xml"/>
  <Default Extension="jpeg" ContentType="image/jpeg"/>
  <Override PartName="/xl/activeX/activeX6.xml" ContentType="application/vnd.ms-office.activeX+xml"/>
  <Override PartName="/xl/activeX/activeX11.bin" ContentType="application/vnd.ms-office.activeX"/>
  <Override PartName="/xl/activeX/activeX18.xml" ContentType="application/vnd.ms-office.activeX+xml"/>
  <Override PartName="/xl/activeX/activeX20.bin" ContentType="application/vnd.ms-office.activeX"/>
  <Override PartName="/xl/activeX/activeX27.xml" ContentType="application/vnd.ms-office.activeX+xml"/>
  <Override PartName="/xl/activeX/activeX31.bin" ContentType="application/vnd.ms-office.activeX"/>
  <Default Extension="emf" ContentType="image/x-emf"/>
  <Override PartName="/xl/workbook.xml" ContentType="application/vnd.ms-excel.sheet.macroEnabled.main+xml"/>
  <Override PartName="/xl/worksheets/sheet4.xml" ContentType="application/vnd.openxmlformats-officedocument.spreadsheetml.worksheet+xml"/>
  <Override PartName="/xl/activeX/activeX2.xml" ContentType="application/vnd.ms-office.activeX+xml"/>
  <Override PartName="/xl/activeX/activeX4.xml" ContentType="application/vnd.ms-office.activeX+xml"/>
  <Override PartName="/xl/activeX/activeX16.xml" ContentType="application/vnd.ms-office.activeX+xml"/>
  <Override PartName="/xl/activeX/activeX25.xml" ContentType="application/vnd.ms-office.activeX+xml"/>
  <Override PartName="/xl/charts/chart1.xml" ContentType="application/vnd.openxmlformats-officedocument.drawingml.chart+xml"/>
  <Override PartName="/xl/drawings/drawing3.xml" ContentType="application/vnd.openxmlformats-officedocument.drawingml.chartshap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activeX/activeX14.xml" ContentType="application/vnd.ms-office.activeX+xml"/>
  <Override PartName="/xl/activeX/activeX23.xml" ContentType="application/vnd.ms-office.activeX+xml"/>
  <Default Extension="vml" ContentType="application/vnd.openxmlformats-officedocument.vmlDrawing"/>
  <Override PartName="/xl/activeX/activeX12.xml" ContentType="application/vnd.ms-office.activeX+xml"/>
  <Override PartName="/xl/activeX/activeX21.xml" ContentType="application/vnd.ms-office.activeX+xml"/>
  <Override PartName="/xl/activeX/activeX30.xml" ContentType="application/vnd.ms-office.activeX+xml"/>
  <Override PartName="/xl/calcChain.xml" ContentType="application/vnd.openxmlformats-officedocument.spreadsheetml.calcChain+xml"/>
  <Override PartName="/xl/activeX/activeX8.bin" ContentType="application/vnd.ms-office.activeX"/>
  <Override PartName="/xl/activeX/activeX10.xml" ContentType="application/vnd.ms-office.activeX+xml"/>
  <Override PartName="/xl/activeX/activeX29.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810" yWindow="-345" windowWidth="21840" windowHeight="12675" tabRatio="704"/>
  </bookViews>
  <sheets>
    <sheet name="Questions" sheetId="1" r:id="rId1"/>
    <sheet name="Scorecard Chart" sheetId="2" r:id="rId2"/>
    <sheet name="Pursuit Cost" sheetId="3" r:id="rId3"/>
    <sheet name="Design Build  Scorecard" sheetId="4" r:id="rId4"/>
  </sheets>
  <definedNames>
    <definedName name="AttValue1" localSheetId="2">'Pursuit Cost'!#REF!</definedName>
    <definedName name="AttValue1" localSheetId="1">'Scorecard Chart'!$U$26</definedName>
    <definedName name="AttValue1">Questions!#REF!</definedName>
    <definedName name="AttValue2" localSheetId="2">'Pursuit Cost'!#REF!</definedName>
    <definedName name="AttValue2" localSheetId="1">'Scorecard Chart'!$U$27</definedName>
    <definedName name="AttValue2">Questions!#REF!</definedName>
    <definedName name="AttValue3" localSheetId="2">'Pursuit Cost'!#REF!</definedName>
    <definedName name="AttValue3" localSheetId="1">'Scorecard Chart'!$U$28</definedName>
    <definedName name="AttValue3">Questions!#REF!</definedName>
    <definedName name="AttValue4" localSheetId="2">'Pursuit Cost'!#REF!</definedName>
    <definedName name="AttValue4" localSheetId="1">'Scorecard Chart'!$U$29</definedName>
    <definedName name="AttValue4">Questions!#REF!</definedName>
    <definedName name="AttValue5" localSheetId="2">'Pursuit Cost'!#REF!</definedName>
    <definedName name="AttValue5" localSheetId="1">'Scorecard Chart'!$U$30</definedName>
    <definedName name="AttValue5">Questions!#REF!</definedName>
    <definedName name="_xlnm.Print_Area" localSheetId="2">'Pursuit Cost'!$A$4:$U$45</definedName>
    <definedName name="_xlnm.Print_Area" localSheetId="0">Questions!$A$2:$U$54</definedName>
    <definedName name="_xlnm.Print_Area" localSheetId="1">'Scorecard Chart'!$A$3:$U$42</definedName>
    <definedName name="StrValue1" localSheetId="2">'Pursuit Cost'!#REF!</definedName>
    <definedName name="StrValue1" localSheetId="1">'Scorecard Chart'!$U$19</definedName>
    <definedName name="StrValue1">Questions!#REF!</definedName>
    <definedName name="StrValue2" localSheetId="2">'Pursuit Cost'!#REF!</definedName>
    <definedName name="StrValue2" localSheetId="1">'Scorecard Chart'!$U$20</definedName>
    <definedName name="StrValue2">Questions!#REF!</definedName>
    <definedName name="StrValue3" localSheetId="2">'Pursuit Cost'!#REF!</definedName>
    <definedName name="StrValue3" localSheetId="1">'Scorecard Chart'!$U$21</definedName>
    <definedName name="StrValue3">Questions!#REF!</definedName>
  </definedNames>
  <calcPr calcId="125725"/>
</workbook>
</file>

<file path=xl/calcChain.xml><?xml version="1.0" encoding="utf-8"?>
<calcChain xmlns="http://schemas.openxmlformats.org/spreadsheetml/2006/main">
  <c r="E40" i="4"/>
  <c r="D40"/>
  <c r="U39" i="3"/>
  <c r="U38"/>
  <c r="U37"/>
  <c r="U36"/>
  <c r="U35"/>
  <c r="U34"/>
  <c r="U33"/>
  <c r="U32"/>
  <c r="U31"/>
  <c r="U30"/>
  <c r="U29"/>
  <c r="U25"/>
  <c r="U24"/>
  <c r="U23"/>
  <c r="U22"/>
  <c r="U21"/>
  <c r="U20"/>
  <c r="U19"/>
  <c r="U18"/>
  <c r="U17"/>
  <c r="U31" i="2"/>
  <c r="U22"/>
  <c r="A22"/>
  <c r="U40" i="3" l="1"/>
  <c r="U26"/>
  <c r="U41" l="1"/>
  <c r="S8" s="1"/>
  <c r="S12" s="1"/>
</calcChain>
</file>

<file path=xl/sharedStrings.xml><?xml version="1.0" encoding="utf-8"?>
<sst xmlns="http://schemas.openxmlformats.org/spreadsheetml/2006/main" count="206" uniqueCount="187">
  <si>
    <t>Total</t>
  </si>
  <si>
    <t>Est. Gross Fee:</t>
  </si>
  <si>
    <t>Other</t>
  </si>
  <si>
    <t>Proposal Costs</t>
  </si>
  <si>
    <t>Rate*</t>
  </si>
  <si>
    <t>Hours</t>
  </si>
  <si>
    <t>Pink/Red Team Review</t>
  </si>
  <si>
    <t>Proposal Development</t>
  </si>
  <si>
    <t>Marketing Support Services</t>
  </si>
  <si>
    <t>Production</t>
  </si>
  <si>
    <t>Travel</t>
  </si>
  <si>
    <t>Presentation Costs</t>
  </si>
  <si>
    <t>Develop/Rehearse/Present</t>
  </si>
  <si>
    <t>Others</t>
  </si>
  <si>
    <t>* Labor rate = estimated base rate x 1.4 fringe allocation</t>
  </si>
  <si>
    <t>Emp# 1, Emp #2, Emp #3, etc.</t>
  </si>
  <si>
    <t>Emp #5 - TBD</t>
  </si>
  <si>
    <t>Emp #5 - PM/TBD</t>
  </si>
  <si>
    <t>Emp #5 - TBD/PM</t>
  </si>
  <si>
    <t xml:space="preserve">  ATTRACTIVENESS SCORE</t>
  </si>
  <si>
    <t xml:space="preserve">  STRENGTH SCORE</t>
  </si>
  <si>
    <t xml:space="preserve">    </t>
  </si>
  <si>
    <t xml:space="preserve"> Function</t>
  </si>
  <si>
    <t xml:space="preserve"> Staff / Component</t>
  </si>
  <si>
    <t>Est. Net Service Revenue:</t>
  </si>
  <si>
    <t xml:space="preserve">Proposal TOTAL </t>
  </si>
  <si>
    <t xml:space="preserve">Presentation TOTAL </t>
  </si>
  <si>
    <t xml:space="preserve">BD Expenditure TOTAL </t>
  </si>
  <si>
    <t>Capture Manager:</t>
  </si>
  <si>
    <t>Market Segment:</t>
  </si>
  <si>
    <t>Account Name:</t>
  </si>
  <si>
    <t>Market Sector:</t>
  </si>
  <si>
    <t>Other:</t>
  </si>
  <si>
    <t>Marketing:</t>
  </si>
  <si>
    <t>Yes</t>
  </si>
  <si>
    <t>No</t>
  </si>
  <si>
    <t>Points</t>
  </si>
  <si>
    <t xml:space="preserve">25 Points Maximum        TOTAL:  </t>
  </si>
  <si>
    <t xml:space="preserve">   amongst the strongest competition?</t>
  </si>
  <si>
    <t>NOTES</t>
  </si>
  <si>
    <t>Opportunity Name:</t>
  </si>
  <si>
    <t>Opportunity ID #:</t>
  </si>
  <si>
    <t>Primary Dept.</t>
  </si>
  <si>
    <t>Business Dev.</t>
  </si>
  <si>
    <t>Est. Award  Date:</t>
  </si>
  <si>
    <t>AECOM Primary Dept:</t>
  </si>
  <si>
    <t>Project Description</t>
  </si>
  <si>
    <t>Project Location:(City/State)</t>
  </si>
  <si>
    <t>1. Consistent with Strategy (Market Sector,  Region)?</t>
  </si>
  <si>
    <t>2. Experienced, capable, available Capture and Project Manager?</t>
  </si>
  <si>
    <t>3. Are we prepositioned (client) or pre-marketed (project)?</t>
  </si>
  <si>
    <t>Notes</t>
  </si>
  <si>
    <t>Estimated Pursuit Cost &amp; Revenue</t>
  </si>
  <si>
    <t>SCORECARD: Strength and Attractiveness Score</t>
  </si>
  <si>
    <t xml:space="preserve">Est. Pursuit Costs: </t>
  </si>
  <si>
    <t>Practice(s):</t>
  </si>
  <si>
    <t>Office(s)/Region(s):</t>
  </si>
  <si>
    <t>Market Segment/Practice:</t>
  </si>
  <si>
    <t>PDD General Market Sector:</t>
  </si>
  <si>
    <t>Gross AECOM Contract Rev:</t>
  </si>
  <si>
    <t>1. Capability Assessment</t>
  </si>
  <si>
    <t>2. Competitive  Assessment</t>
  </si>
  <si>
    <t>3. Client Assessment</t>
  </si>
  <si>
    <t>5. Contract Assessment</t>
  </si>
  <si>
    <t>4. Cost/Profit  Assessment</t>
  </si>
  <si>
    <t xml:space="preserve"> A "yes" to all of these question is central to a good "go" decision</t>
  </si>
  <si>
    <t>II.  Assessment: Capabilities, Competitive, Client, Costs and Contract</t>
  </si>
  <si>
    <t>1. Does the client have a well-defined brief (request for proposal)?</t>
  </si>
  <si>
    <t>1. Is it consistent with our market sector and regional strategy?</t>
  </si>
  <si>
    <t>2. Do we have the right capture/project manager to win?</t>
  </si>
  <si>
    <t>3. Have we pre-positioned (client) or pre-marketed (project)?</t>
  </si>
  <si>
    <t>2. Do we understand the scope of services, schedule, budget and project delivery?</t>
  </si>
  <si>
    <t>4. Is our potential team and related project experience strongly aligned with the scope</t>
  </si>
  <si>
    <t xml:space="preserve">   of services and type of project?</t>
  </si>
  <si>
    <t>5. Is a project team available and committed to prepare and execute our response?</t>
  </si>
  <si>
    <t>7. Is input/teaming required from other regions, geographies, or business lines?</t>
  </si>
  <si>
    <t>1. Is the solicitation limited to invited bidders or open to all interested parties?</t>
  </si>
  <si>
    <t>2. Have we met with the decision makers prior to release of the  RFP?</t>
  </si>
  <si>
    <t>3. Who are the strongest competitors and why?</t>
  </si>
  <si>
    <t>5. Is there an incumbent, or a favorite and what is the strength of the relationship?</t>
  </si>
  <si>
    <t>6. Do we have a high probability of winning?</t>
  </si>
  <si>
    <t>1. Is the client financially healthy/stable?</t>
  </si>
  <si>
    <t>2. Does AECOM have profitable track with the client?</t>
  </si>
  <si>
    <t>3. Have the funds been allocated for the requested services?</t>
  </si>
  <si>
    <t>4. What is our prior relationship with the client and decision makers?</t>
  </si>
  <si>
    <t>5. If identified any conflicts of interest with other AECOM projects or clients, is there</t>
  </si>
  <si>
    <t>7. Is there potential with this client for future additional services or projects?</t>
  </si>
  <si>
    <t xml:space="preserve">   a mitigation opportunity?</t>
  </si>
  <si>
    <t>D. Cost: Do we expect to achieve profit goal based on cost of pursuing and expected pricing strategy?</t>
  </si>
  <si>
    <t xml:space="preserve">2. Is our likely fee structure competitive and commensurate with est. cost of pursuit </t>
  </si>
  <si>
    <t xml:space="preserve">   performance risk?</t>
  </si>
  <si>
    <t>1. What is estimated cost of pursuing - proposal support, production, interviewing?</t>
  </si>
  <si>
    <t>1. Have we seen or do we have an idea of the terms and conditions?</t>
  </si>
  <si>
    <t>2. Are there potential contract risks that need to be reviewed before investing in pursuit?</t>
  </si>
  <si>
    <t>3. Is Hub approval required and is there adequate time for the approval process?</t>
  </si>
  <si>
    <t>6. Is the level of transparency and client's selection process favorable to us?</t>
  </si>
  <si>
    <t>Go/No Go Questions</t>
  </si>
  <si>
    <t>Estimated Pursuit Cost Summary</t>
  </si>
  <si>
    <t>Opportunity Data &amp; Scorecard Chart</t>
  </si>
  <si>
    <t>(optional)</t>
  </si>
  <si>
    <t>A. Capabilities: Do we have the capabilities to successfully win and execute a quality project?</t>
  </si>
  <si>
    <t xml:space="preserve">3. Are the requested services within our area of  expertise, licensure/registration?  </t>
  </si>
  <si>
    <t>C. Client: Do we have a relationship with the client and adequate understanding of what is needed to win and execute the work?</t>
  </si>
  <si>
    <t>E. Contract: Will the pursuit trigger the Delegations of Authority approval requirements?  (Refer to current DOA on my AECOM)</t>
  </si>
  <si>
    <t xml:space="preserve">    a.  insurance types/quantities requested within our policy limits?</t>
  </si>
  <si>
    <t xml:space="preserve">   b. acceptable compensation structure and terms?</t>
  </si>
  <si>
    <t xml:space="preserve">   c. commercial terms to consider when determining our profit margin?</t>
  </si>
  <si>
    <t>B. Competitive:  Do our capabilities, experience or other qualities differentiate us from the strongest competitor?</t>
  </si>
  <si>
    <t xml:space="preserve">4. How do our capabilities, experience, location or other quality differentiate us </t>
  </si>
  <si>
    <t>6. If required, do we have experience with Regulatory Authorities governing the project?</t>
  </si>
  <si>
    <t>I.   3 Key Questions</t>
  </si>
  <si>
    <t>4. Does the contract include:</t>
  </si>
  <si>
    <t>Pursuit Budget to NSR:</t>
  </si>
  <si>
    <t>Note: For Matrix decisions, please use this document to record more detailed notes of conversation and attach file to Salesforce record.</t>
  </si>
  <si>
    <t>Meets Prerequisite</t>
  </si>
  <si>
    <t>Point Value</t>
  </si>
  <si>
    <t>Points Allocated</t>
  </si>
  <si>
    <t>Remarks</t>
  </si>
  <si>
    <t xml:space="preserve">1.0 PREREQUISITES </t>
  </si>
  <si>
    <t>Project performance schedule appears reasonable, including procurement schedule</t>
  </si>
  <si>
    <t xml:space="preserve">Schedules that are unrealistically short could result in liquidated damages and harm AECOM's reputation. Schedules that are too long could impact A/E profitability. </t>
  </si>
  <si>
    <t>Project budget appears reasonable</t>
  </si>
  <si>
    <t>RFPs that already have scope and budget in alignment remove the subjectivity involved in determining which Owner scope priorities to include in the proposal to meet their budget.</t>
  </si>
  <si>
    <t>Design Team portfolio meets RFP qualifications criteria</t>
  </si>
  <si>
    <t>Owner has funding committed to project</t>
  </si>
  <si>
    <t xml:space="preserve">AECOM can align with a good teaming partner whose portfolio and experience meets RFP qualifications criteria </t>
  </si>
  <si>
    <t>AECOM can commit sufficient resources to the project.</t>
  </si>
  <si>
    <t>AECOM must be able to adequately and consistently staff the project.</t>
  </si>
  <si>
    <t>We should generally pursue projects that are within our core markets. There is the possibility of riding the coattails of a Builder where price is the primary selection factor, we do not have to rely on a deep portfolio of similar projects to make it to the shortlist, an existing client relationship is a factor, and/or our proposed design could be convincing enough to warrant selection.</t>
  </si>
  <si>
    <t>2.0 DELIVERY PROCESS</t>
  </si>
  <si>
    <t>One-step selection processes should generally be avoided except where AECOM's investment in the proposal is small or where we are a team partner on a MACC or MATOC contract and competing among a select number of prequalified teams.</t>
  </si>
  <si>
    <t>Project will be procured through a negotiated selection process or Best Value selection</t>
  </si>
  <si>
    <t>A rare, but very favorable opportunity is a sole source negotiated design/build agreement, which typically occurs only in the private sector. In Best Value selection, technical evaluation criteria are given equal or greater weight than price.</t>
  </si>
  <si>
    <t>Sole source procurement - add</t>
  </si>
  <si>
    <t>Short list of three or two - add</t>
  </si>
  <si>
    <t>Owner is experienced in Design/Build delivery</t>
  </si>
  <si>
    <t>An inexperienced Owner can have unrealistic expectations, require significant handholding, and ultimately increase costs for the A/E and Builder.</t>
  </si>
  <si>
    <t>3.0 CLIENT RELATIONSHIP</t>
  </si>
  <si>
    <t>AECOM has prior successful design-bid-build work with client</t>
  </si>
  <si>
    <t>Prior successful client relationships are important in attracting a potential Builder partner and provide a venue for sharing project intelligence with a potential Builder.</t>
  </si>
  <si>
    <t>AECOM has prior successful design/build work with client</t>
  </si>
  <si>
    <t>Clients that have first-hand successful experience with our design/build methodology are more likely to select us again.</t>
  </si>
  <si>
    <t>4.0 DESIGN/BUILDER PARTNER QUALIFICATIONS</t>
  </si>
  <si>
    <t>Builder has prior successful design-bid-build experience with client</t>
  </si>
  <si>
    <t>Due diligence with clients about their perceptions of different Builders could yield important information vital to short-listing and selection.</t>
  </si>
  <si>
    <t>Builder has prior successful design/build experience with client</t>
  </si>
  <si>
    <t>Clients that have first-hand successful experience with a Builder's methodology are more likely to select that Builder again.</t>
  </si>
  <si>
    <t>AECOM has prior design/build experience with Builder</t>
  </si>
  <si>
    <t>Joint experience is often a primary RFP qualification requirement.</t>
  </si>
  <si>
    <t>AECOM has prior design-bid-build experience with Builder</t>
  </si>
  <si>
    <t>The ability to show a prior working relationship can be important when the RFP does not require that the Builder and A/E have prior Design/Build experience together.</t>
  </si>
  <si>
    <t>Builder has significant project intelligence</t>
  </si>
  <si>
    <t>Legwork done by the Builder can often pre-position the team at little or no cost to AECOM.</t>
  </si>
  <si>
    <t xml:space="preserve">Builder will allow AECOM to review the Price Proposal </t>
  </si>
  <si>
    <t>While not all builders will permit A/Es to see the price proposal documents, access to this information prior to proposal submission provides an opportunity for AECOM to impact the competitiveness of the team's proposal.</t>
  </si>
  <si>
    <t>AECOM would like to work with the Builder on a repeat basis to implement our design-build marketing strategy.</t>
  </si>
  <si>
    <t xml:space="preserve">  </t>
  </si>
  <si>
    <t>Builder committed to sole source subcontractors for approximately 50% of the project</t>
  </si>
  <si>
    <t>Captured subcontractors allow more coordinated and effective design and pricing activities</t>
  </si>
  <si>
    <t>5.0 INTERNAL FINANCIAL GOALS</t>
  </si>
  <si>
    <t>Stipends are rarely available, but can serve to ease some of the proposal cost burden.</t>
  </si>
  <si>
    <t>AECOM scope includes all disciplines</t>
  </si>
  <si>
    <t>A/E fees have a significantly larger effect on the total design/build proposal on smaller projects. Small projects can be lost or won on the A/E fee alone.</t>
  </si>
  <si>
    <t>TOTAL AVAILABLE POINTS</t>
  </si>
  <si>
    <t xml:space="preserve">Note 2:  If the project RFP establishes prerequisites for submission, some of the scored criteria may need to be moved to the prerequisite section of the scorecard. </t>
  </si>
  <si>
    <t xml:space="preserve">Project is consistent with current AECOM design-construct marketing strategy </t>
  </si>
  <si>
    <t xml:space="preserve">Builder has demonstrated the ability to be competitive in the design-construct market and has design-construct success. </t>
  </si>
  <si>
    <t>Major A/E disciplines.</t>
  </si>
  <si>
    <t>Project construction cost  related to multi-disciplined A/E and single discipline efforts  (See Note 1)</t>
  </si>
  <si>
    <t xml:space="preserve">Acceptable flow down terms and conditions are achievable from the Owner-Design/Builder Contract </t>
  </si>
  <si>
    <t>Two-Step selection process with not more than 5 firms short listed</t>
  </si>
  <si>
    <t>Builder is willing to pay A/E fees that provide profit in excess of:  10% = 1 point, 15% = 2 points, and 20% = 3 points, exclusive of proposal costs</t>
  </si>
  <si>
    <t xml:space="preserve">This scorecard is a tool to start the Go-No Go conversation with an appropriate group of key AECOM stakeholders.  This tool should prompt the conversation of determining success factors and our ability to win. </t>
  </si>
  <si>
    <t xml:space="preserve">AECOM has pre-positioned </t>
  </si>
  <si>
    <t>Cost of proposal development is consistent with AECOM Design-Construct guidelines.</t>
  </si>
  <si>
    <t>Judgement</t>
  </si>
  <si>
    <t>The project must be real without the threat of funding being withdrawn or project delayed after considerable proposal investment. Since absolute confirmation would be difficult to secure, please use your best judgement.</t>
  </si>
  <si>
    <t xml:space="preserve">All prerequisites must be met, along with a minimum of 11 additional points, to move forward. If the opportunity does not meet the criteria, but there are strong reasons to pursue, approval from the Regional and Practice Line Manager is required. </t>
  </si>
  <si>
    <r>
      <t xml:space="preserve">Assign point values for single discipline project construction cost as follows:                                                                                                    </t>
    </r>
    <r>
      <rPr>
        <sz val="12"/>
        <rFont val="Arial"/>
        <family val="2"/>
      </rPr>
      <t>Less than $2 million: -1</t>
    </r>
    <r>
      <rPr>
        <b/>
        <sz val="12"/>
        <rFont val="Arial"/>
        <family val="2"/>
      </rPr>
      <t xml:space="preserve">                                                                       </t>
    </r>
    <r>
      <rPr>
        <sz val="12"/>
        <rFont val="Arial"/>
        <family val="2"/>
      </rPr>
      <t xml:space="preserve">$2 million to $5 million: +1                                             More than $5 million to less than $10 million: +1.5 </t>
    </r>
    <r>
      <rPr>
        <b/>
        <sz val="12"/>
        <rFont val="Arial"/>
        <family val="2"/>
      </rPr>
      <t xml:space="preserve">                                      </t>
    </r>
  </si>
  <si>
    <t xml:space="preserve">$10 million to less than $25 million: +2
$25 million and over:  +3
</t>
  </si>
  <si>
    <t xml:space="preserve">$10 million to less than $25 million: +1
$25 million to less than $75 million:  +1.5
$75 million to less than $150 million:  +2
$150 million and Over: +3
</t>
  </si>
  <si>
    <t xml:space="preserve">Note 3: Cost of pursuit should be locally discussed and reviewed using the review procedures in place.  </t>
  </si>
  <si>
    <t>Participants Names:</t>
  </si>
  <si>
    <t>Consider in relation to RFP Bridge Documents or Performance Document criteria.</t>
  </si>
  <si>
    <t>Availability of stipend from owner or builder</t>
  </si>
  <si>
    <r>
      <t xml:space="preserve">Note 1: Assign point values for A/E project construction cost as follows:                                                                                                    </t>
    </r>
    <r>
      <rPr>
        <sz val="12"/>
        <rFont val="Arial"/>
        <family val="2"/>
      </rPr>
      <t>Less than $5 million: -1</t>
    </r>
    <r>
      <rPr>
        <b/>
        <sz val="12"/>
        <rFont val="Arial"/>
        <family val="2"/>
      </rPr>
      <t xml:space="preserve">                                                                       </t>
    </r>
    <r>
      <rPr>
        <sz val="12"/>
        <rFont val="Arial"/>
        <family val="2"/>
      </rPr>
      <t xml:space="preserve">$5 million to less than $10 million: 0 </t>
    </r>
    <r>
      <rPr>
        <b/>
        <sz val="12"/>
        <rFont val="Arial"/>
        <family val="2"/>
      </rPr>
      <t xml:space="preserve">                                      </t>
    </r>
  </si>
  <si>
    <t xml:space="preserve">Design-Build Opportunity Scorecard </t>
  </si>
</sst>
</file>

<file path=xl/styles.xml><?xml version="1.0" encoding="utf-8"?>
<styleSheet xmlns="http://schemas.openxmlformats.org/spreadsheetml/2006/main">
  <numFmts count="5">
    <numFmt numFmtId="5" formatCode="&quot;$&quot;#,##0_);\(&quot;$&quot;#,##0\)"/>
    <numFmt numFmtId="6" formatCode="&quot;$&quot;#,##0_);[Red]\(&quot;$&quot;#,##0\)"/>
    <numFmt numFmtId="164" formatCode="dd\-mmm\-yy"/>
    <numFmt numFmtId="165" formatCode="&quot;$&quot;#,##0"/>
    <numFmt numFmtId="166" formatCode="0.0"/>
  </numFmts>
  <fonts count="20">
    <font>
      <sz val="10"/>
      <name val="Arial"/>
    </font>
    <font>
      <sz val="10"/>
      <name val="Arial"/>
    </font>
    <font>
      <b/>
      <sz val="10"/>
      <name val="Arial"/>
      <family val="2"/>
    </font>
    <font>
      <b/>
      <sz val="12"/>
      <name val="Arial"/>
      <family val="2"/>
    </font>
    <font>
      <sz val="8"/>
      <name val="Arial"/>
      <family val="2"/>
    </font>
    <font>
      <b/>
      <sz val="14"/>
      <name val="Arial"/>
      <family val="2"/>
    </font>
    <font>
      <sz val="10"/>
      <name val="Arial"/>
      <family val="2"/>
    </font>
    <font>
      <b/>
      <sz val="8"/>
      <name val="Arial"/>
      <family val="2"/>
    </font>
    <font>
      <sz val="8"/>
      <name val="Arial"/>
      <family val="2"/>
    </font>
    <font>
      <sz val="12"/>
      <name val="Arial"/>
      <family val="2"/>
    </font>
    <font>
      <sz val="12"/>
      <name val="Arial"/>
      <family val="2"/>
    </font>
    <font>
      <b/>
      <sz val="11"/>
      <name val="Arial"/>
      <family val="2"/>
    </font>
    <font>
      <sz val="10"/>
      <color indexed="63"/>
      <name val="Arial"/>
      <family val="2"/>
    </font>
    <font>
      <b/>
      <sz val="10"/>
      <color indexed="63"/>
      <name val="Arial"/>
      <family val="2"/>
    </font>
    <font>
      <sz val="10"/>
      <color indexed="63"/>
      <name val="Arial"/>
      <family val="2"/>
    </font>
    <font>
      <sz val="11"/>
      <name val="Arial"/>
      <family val="2"/>
    </font>
    <font>
      <sz val="11"/>
      <color theme="1" tint="4.9989318521683403E-2"/>
      <name val="Arial"/>
      <family val="2"/>
    </font>
    <font>
      <b/>
      <sz val="16"/>
      <name val="Arial"/>
      <family val="2"/>
    </font>
    <font>
      <sz val="12"/>
      <name val="Times New Roman"/>
      <family val="1"/>
    </font>
    <font>
      <b/>
      <sz val="18"/>
      <name val="Arial"/>
      <family val="2"/>
    </font>
  </fonts>
  <fills count="8">
    <fill>
      <patternFill patternType="none"/>
    </fill>
    <fill>
      <patternFill patternType="gray125"/>
    </fill>
    <fill>
      <patternFill patternType="solid">
        <fgColor indexed="9"/>
        <bgColor indexed="64"/>
      </patternFill>
    </fill>
    <fill>
      <patternFill patternType="solid">
        <fgColor indexed="26"/>
        <bgColor indexed="64"/>
      </patternFill>
    </fill>
    <fill>
      <patternFill patternType="solid">
        <fgColor rgb="FF8CC63F"/>
        <bgColor indexed="64"/>
      </patternFill>
    </fill>
    <fill>
      <patternFill patternType="solid">
        <fgColor indexed="55"/>
        <bgColor indexed="64"/>
      </patternFill>
    </fill>
    <fill>
      <patternFill patternType="solid">
        <fgColor rgb="FF909090"/>
        <bgColor indexed="64"/>
      </patternFill>
    </fill>
    <fill>
      <patternFill patternType="solid">
        <fgColor rgb="FF92D050"/>
        <bgColor indexed="64"/>
      </patternFill>
    </fill>
  </fills>
  <borders count="85">
    <border>
      <left/>
      <right/>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55"/>
      </top>
      <bottom style="thin">
        <color indexed="55"/>
      </bottom>
      <diagonal/>
    </border>
    <border>
      <left/>
      <right style="thin">
        <color indexed="64"/>
      </right>
      <top style="thin">
        <color indexed="55"/>
      </top>
      <bottom style="thin">
        <color indexed="55"/>
      </bottom>
      <diagonal/>
    </border>
    <border>
      <left/>
      <right/>
      <top style="thin">
        <color indexed="55"/>
      </top>
      <bottom style="thin">
        <color indexed="55"/>
      </bottom>
      <diagonal/>
    </border>
    <border>
      <left style="thin">
        <color indexed="64"/>
      </left>
      <right style="thin">
        <color indexed="64"/>
      </right>
      <top/>
      <bottom style="thin">
        <color indexed="55"/>
      </bottom>
      <diagonal/>
    </border>
    <border>
      <left/>
      <right style="thin">
        <color indexed="64"/>
      </right>
      <top style="thin">
        <color indexed="64"/>
      </top>
      <bottom style="thin">
        <color indexed="64"/>
      </bottom>
      <diagonal/>
    </border>
    <border>
      <left style="thin">
        <color indexed="22"/>
      </left>
      <right style="thin">
        <color indexed="22"/>
      </right>
      <top style="thin">
        <color indexed="55"/>
      </top>
      <bottom style="thin">
        <color indexed="55"/>
      </bottom>
      <diagonal/>
    </border>
    <border>
      <left style="thin">
        <color indexed="64"/>
      </left>
      <right/>
      <top/>
      <bottom style="thin">
        <color indexed="55"/>
      </bottom>
      <diagonal/>
    </border>
    <border>
      <left style="thin">
        <color indexed="22"/>
      </left>
      <right style="thin">
        <color indexed="22"/>
      </right>
      <top/>
      <bottom style="thin">
        <color indexed="55"/>
      </bottom>
      <diagonal/>
    </border>
    <border>
      <left/>
      <right style="thin">
        <color indexed="64"/>
      </right>
      <top/>
      <bottom style="thin">
        <color indexed="55"/>
      </bottom>
      <diagonal/>
    </border>
    <border>
      <left/>
      <right style="thin">
        <color indexed="64"/>
      </right>
      <top style="thin">
        <color indexed="55"/>
      </top>
      <bottom style="thin">
        <color indexed="64"/>
      </bottom>
      <diagonal/>
    </border>
    <border>
      <left style="thin">
        <color indexed="22"/>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55"/>
      </top>
      <bottom/>
      <diagonal/>
    </border>
    <border>
      <left/>
      <right/>
      <top/>
      <bottom style="thin">
        <color indexed="55"/>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rgb="FFC0C0C0"/>
      </bottom>
      <diagonal/>
    </border>
    <border>
      <left style="thin">
        <color indexed="22"/>
      </left>
      <right style="thin">
        <color indexed="64"/>
      </right>
      <top style="thin">
        <color indexed="64"/>
      </top>
      <bottom style="thin">
        <color rgb="FFC0C0C0"/>
      </bottom>
      <diagonal/>
    </border>
    <border>
      <left style="thin">
        <color indexed="64"/>
      </left>
      <right/>
      <top style="thin">
        <color rgb="FFC0C0C0"/>
      </top>
      <bottom style="thin">
        <color rgb="FFC0C0C0"/>
      </bottom>
      <diagonal/>
    </border>
    <border>
      <left style="thin">
        <color indexed="22"/>
      </left>
      <right style="thin">
        <color indexed="64"/>
      </right>
      <top style="thin">
        <color rgb="FFC0C0C0"/>
      </top>
      <bottom style="thin">
        <color rgb="FFC0C0C0"/>
      </bottom>
      <diagonal/>
    </border>
    <border>
      <left/>
      <right/>
      <top style="thin">
        <color rgb="FFC0C0C0"/>
      </top>
      <bottom style="thin">
        <color rgb="FFC0C0C0"/>
      </bottom>
      <diagonal/>
    </border>
    <border>
      <left/>
      <right style="thin">
        <color indexed="64"/>
      </right>
      <top style="thin">
        <color rgb="FFC0C0C0"/>
      </top>
      <bottom style="thin">
        <color rgb="FFC0C0C0"/>
      </bottom>
      <diagonal/>
    </border>
    <border>
      <left/>
      <right/>
      <top style="thin">
        <color indexed="64"/>
      </top>
      <bottom style="thin">
        <color rgb="FFC0C0C0"/>
      </bottom>
      <diagonal/>
    </border>
    <border>
      <left/>
      <right style="thin">
        <color indexed="64"/>
      </right>
      <top style="thin">
        <color indexed="64"/>
      </top>
      <bottom style="thin">
        <color rgb="FFC0C0C0"/>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indexed="64"/>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diagonal/>
    </border>
    <border>
      <left style="thin">
        <color theme="1" tint="0.499984740745262"/>
      </left>
      <right style="thin">
        <color indexed="64"/>
      </right>
      <top/>
      <bottom style="thin">
        <color theme="1" tint="0.499984740745262"/>
      </bottom>
      <diagonal/>
    </border>
    <border>
      <left style="thin">
        <color indexed="64"/>
      </left>
      <right style="thin">
        <color indexed="64"/>
      </right>
      <top/>
      <bottom style="thin">
        <color theme="1" tint="0.499984740745262"/>
      </bottom>
      <diagonal/>
    </border>
    <border>
      <left style="thin">
        <color indexed="64"/>
      </left>
      <right style="thin">
        <color indexed="64"/>
      </right>
      <top style="thin">
        <color theme="1" tint="0.499984740745262"/>
      </top>
      <bottom/>
      <diagonal/>
    </border>
    <border>
      <left/>
      <right/>
      <top/>
      <bottom style="thin">
        <color theme="1" tint="0.499984740745262"/>
      </bottom>
      <diagonal/>
    </border>
    <border>
      <left/>
      <right/>
      <top style="thin">
        <color theme="1" tint="0.499984740745262"/>
      </top>
      <bottom/>
      <diagonal/>
    </border>
    <border>
      <left style="thin">
        <color theme="1" tint="0.499984740745262"/>
      </left>
      <right/>
      <top/>
      <bottom style="thin">
        <color theme="1" tint="0.499984740745262"/>
      </bottom>
      <diagonal/>
    </border>
    <border>
      <left style="thin">
        <color theme="1" tint="0.499984740745262"/>
      </left>
      <right/>
      <top style="thin">
        <color theme="1" tint="0.499984740745262"/>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indexed="64"/>
      </left>
      <right/>
      <top style="thin">
        <color theme="1" tint="0.499984740745262"/>
      </top>
      <bottom/>
      <diagonal/>
    </border>
    <border>
      <left style="thin">
        <color indexed="64"/>
      </left>
      <right/>
      <top/>
      <bottom style="thin">
        <color theme="1" tint="0.499984740745262"/>
      </bottom>
      <diagonal/>
    </border>
    <border>
      <left/>
      <right style="thin">
        <color theme="1" tint="0.499984740745262"/>
      </right>
      <top/>
      <bottom style="thin">
        <color theme="1" tint="0.499984740745262"/>
      </bottom>
      <diagonal/>
    </border>
    <border>
      <left/>
      <right/>
      <top style="medium">
        <color theme="1" tint="0.34998626667073579"/>
      </top>
      <bottom style="medium">
        <color theme="1" tint="0.34998626667073579"/>
      </bottom>
      <diagonal/>
    </border>
    <border>
      <left/>
      <right/>
      <top/>
      <bottom style="medium">
        <color theme="1" tint="0.34998626667073579"/>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thin">
        <color indexed="64"/>
      </bottom>
      <diagonal/>
    </border>
    <border>
      <left style="thin">
        <color indexed="22"/>
      </left>
      <right style="thin">
        <color indexed="22"/>
      </right>
      <top style="thin">
        <color indexed="64"/>
      </top>
      <bottom style="thin">
        <color indexed="55"/>
      </bottom>
      <diagonal/>
    </border>
    <border>
      <left style="thin">
        <color indexed="22"/>
      </left>
      <right style="thin">
        <color indexed="22"/>
      </right>
      <top style="thin">
        <color indexed="55"/>
      </top>
      <bottom style="thin">
        <color indexed="64"/>
      </bottom>
      <diagonal/>
    </border>
  </borders>
  <cellStyleXfs count="2">
    <xf numFmtId="0" fontId="0" fillId="0" borderId="0"/>
    <xf numFmtId="0" fontId="18" fillId="0" borderId="0"/>
  </cellStyleXfs>
  <cellXfs count="388">
    <xf numFmtId="0" fontId="0" fillId="0" borderId="0" xfId="0"/>
    <xf numFmtId="0" fontId="0" fillId="0" borderId="0" xfId="0" applyAlignment="1"/>
    <xf numFmtId="0" fontId="6" fillId="0" borderId="0" xfId="0" applyFont="1" applyAlignment="1"/>
    <xf numFmtId="0" fontId="0" fillId="0" borderId="0" xfId="0" applyFill="1" applyAlignment="1"/>
    <xf numFmtId="0" fontId="0" fillId="0" borderId="0" xfId="0" applyBorder="1" applyAlignment="1"/>
    <xf numFmtId="0" fontId="2" fillId="0" borderId="0" xfId="0" applyFont="1" applyFill="1" applyBorder="1" applyAlignment="1"/>
    <xf numFmtId="0" fontId="0" fillId="0" borderId="0" xfId="0" applyFill="1" applyBorder="1" applyAlignment="1"/>
    <xf numFmtId="0" fontId="9" fillId="0" borderId="0" xfId="0" applyFont="1" applyFill="1" applyAlignment="1">
      <alignment horizontal="left"/>
    </xf>
    <xf numFmtId="0" fontId="0" fillId="0" borderId="0" xfId="0" applyAlignment="1">
      <alignment vertical="center"/>
    </xf>
    <xf numFmtId="0" fontId="0" fillId="2" borderId="0" xfId="0" applyFill="1" applyAlignment="1"/>
    <xf numFmtId="0" fontId="9" fillId="0" borderId="1" xfId="0" applyFont="1" applyBorder="1" applyAlignment="1" applyProtection="1">
      <alignment horizontal="left"/>
    </xf>
    <xf numFmtId="0" fontId="9" fillId="0" borderId="2" xfId="0" applyFont="1" applyBorder="1" applyAlignment="1" applyProtection="1">
      <alignment horizontal="left"/>
    </xf>
    <xf numFmtId="0" fontId="9" fillId="0" borderId="3" xfId="0" applyFont="1" applyBorder="1" applyAlignment="1" applyProtection="1">
      <alignment horizontal="left"/>
    </xf>
    <xf numFmtId="164" fontId="9" fillId="0" borderId="0" xfId="0" applyNumberFormat="1" applyFont="1" applyFill="1" applyBorder="1" applyAlignment="1" applyProtection="1">
      <alignment horizontal="left"/>
      <protection locked="0"/>
    </xf>
    <xf numFmtId="0" fontId="9" fillId="0" borderId="0" xfId="0" applyFont="1" applyFill="1" applyBorder="1" applyAlignment="1">
      <alignment horizontal="left"/>
    </xf>
    <xf numFmtId="0" fontId="9" fillId="0" borderId="0" xfId="0" applyFont="1" applyFill="1" applyBorder="1" applyAlignment="1" applyProtection="1">
      <alignment horizontal="left"/>
      <protection locked="0"/>
    </xf>
    <xf numFmtId="0" fontId="0" fillId="0" borderId="3" xfId="0" applyFill="1" applyBorder="1" applyAlignment="1"/>
    <xf numFmtId="0" fontId="0" fillId="0" borderId="7" xfId="0" applyBorder="1" applyAlignment="1" applyProtection="1">
      <protection locked="0"/>
    </xf>
    <xf numFmtId="0" fontId="0" fillId="0" borderId="8" xfId="0" applyBorder="1" applyAlignment="1" applyProtection="1">
      <protection locked="0"/>
    </xf>
    <xf numFmtId="0" fontId="0" fillId="0" borderId="9" xfId="0" applyBorder="1" applyAlignment="1" applyProtection="1">
      <protection locked="0"/>
    </xf>
    <xf numFmtId="0" fontId="0" fillId="3" borderId="12" xfId="0" applyFill="1" applyBorder="1" applyAlignment="1" applyProtection="1">
      <protection locked="0"/>
    </xf>
    <xf numFmtId="0" fontId="0" fillId="0" borderId="13" xfId="0" applyBorder="1" applyAlignment="1" applyProtection="1">
      <alignment horizontal="center"/>
      <protection locked="0"/>
    </xf>
    <xf numFmtId="0" fontId="0" fillId="3" borderId="14" xfId="0" applyFill="1" applyBorder="1" applyAlignment="1" applyProtection="1">
      <alignment horizontal="center"/>
      <protection locked="0"/>
    </xf>
    <xf numFmtId="0" fontId="0" fillId="0" borderId="15" xfId="0" applyBorder="1" applyAlignment="1" applyProtection="1">
      <alignment horizontal="center"/>
      <protection locked="0"/>
    </xf>
    <xf numFmtId="0" fontId="0" fillId="2" borderId="0" xfId="0" applyFill="1" applyBorder="1" applyAlignment="1"/>
    <xf numFmtId="0" fontId="1" fillId="0" borderId="0" xfId="0" applyFont="1" applyFill="1" applyBorder="1" applyAlignment="1"/>
    <xf numFmtId="0" fontId="1" fillId="0" borderId="0" xfId="0" applyFont="1" applyFill="1" applyBorder="1" applyAlignment="1">
      <alignment horizontal="left"/>
    </xf>
    <xf numFmtId="5" fontId="1" fillId="0" borderId="0" xfId="0" applyNumberFormat="1" applyFont="1" applyFill="1" applyBorder="1" applyAlignment="1">
      <alignment horizontal="left"/>
    </xf>
    <xf numFmtId="0" fontId="9" fillId="0" borderId="0" xfId="0" applyFont="1" applyFill="1" applyBorder="1" applyAlignment="1"/>
    <xf numFmtId="0" fontId="1" fillId="0" borderId="0" xfId="0" applyFont="1" applyBorder="1" applyAlignment="1"/>
    <xf numFmtId="0" fontId="0" fillId="0" borderId="16" xfId="0" applyBorder="1" applyAlignment="1" applyProtection="1">
      <protection locked="0"/>
    </xf>
    <xf numFmtId="0" fontId="9" fillId="0" borderId="1" xfId="0" applyFont="1" applyFill="1" applyBorder="1" applyAlignment="1" applyProtection="1">
      <alignment horizontal="left"/>
    </xf>
    <xf numFmtId="0" fontId="0" fillId="0" borderId="31" xfId="0" applyFill="1" applyBorder="1" applyAlignment="1">
      <alignment horizontal="center"/>
    </xf>
    <xf numFmtId="0" fontId="0" fillId="0" borderId="32" xfId="0" applyFill="1" applyBorder="1" applyAlignment="1">
      <alignment horizontal="center"/>
    </xf>
    <xf numFmtId="0" fontId="0" fillId="0" borderId="17" xfId="0" applyFill="1" applyBorder="1" applyAlignment="1"/>
    <xf numFmtId="0" fontId="0" fillId="0" borderId="33" xfId="0" applyFill="1" applyBorder="1" applyAlignment="1">
      <alignment horizontal="center"/>
    </xf>
    <xf numFmtId="0" fontId="0" fillId="0" borderId="34" xfId="0" applyFill="1" applyBorder="1" applyAlignment="1">
      <alignment horizontal="center"/>
    </xf>
    <xf numFmtId="0" fontId="0" fillId="0" borderId="0" xfId="0" applyBorder="1" applyAlignment="1">
      <alignment vertical="center"/>
    </xf>
    <xf numFmtId="0" fontId="0" fillId="0" borderId="0" xfId="0" applyAlignment="1" applyProtection="1"/>
    <xf numFmtId="0" fontId="6" fillId="0" borderId="0" xfId="0" applyFont="1" applyFill="1" applyBorder="1" applyAlignment="1" applyProtection="1"/>
    <xf numFmtId="0" fontId="0" fillId="0" borderId="0" xfId="0" applyFill="1" applyBorder="1" applyAlignment="1" applyProtection="1">
      <alignment horizontal="left"/>
    </xf>
    <xf numFmtId="0" fontId="0" fillId="0" borderId="0" xfId="0" applyBorder="1" applyAlignment="1" applyProtection="1">
      <alignment horizontal="left"/>
    </xf>
    <xf numFmtId="0" fontId="0" fillId="0" borderId="0" xfId="0" applyFill="1" applyBorder="1" applyAlignment="1" applyProtection="1">
      <alignment horizontal="left" vertical="top" wrapText="1"/>
    </xf>
    <xf numFmtId="0" fontId="0" fillId="0" borderId="0" xfId="0" applyFill="1" applyBorder="1" applyAlignment="1" applyProtection="1">
      <alignment horizontal="center" vertical="top" wrapText="1"/>
    </xf>
    <xf numFmtId="0" fontId="0" fillId="0" borderId="0" xfId="0" applyFill="1" applyBorder="1" applyAlignment="1" applyProtection="1">
      <alignment vertical="top" wrapText="1"/>
    </xf>
    <xf numFmtId="0" fontId="14" fillId="0" borderId="5" xfId="0" applyFont="1" applyFill="1" applyBorder="1" applyAlignment="1" applyProtection="1">
      <alignment horizontal="center" vertical="center"/>
    </xf>
    <xf numFmtId="0" fontId="14" fillId="0" borderId="5" xfId="0" applyFont="1" applyBorder="1" applyAlignment="1" applyProtection="1">
      <alignment horizontal="center" vertical="center"/>
    </xf>
    <xf numFmtId="0" fontId="0" fillId="0" borderId="5" xfId="0" applyFill="1" applyBorder="1" applyAlignment="1" applyProtection="1"/>
    <xf numFmtId="0" fontId="5" fillId="0" borderId="0" xfId="0" applyFont="1" applyFill="1" applyAlignment="1" applyProtection="1">
      <alignment vertical="center"/>
    </xf>
    <xf numFmtId="0" fontId="0" fillId="0" borderId="0" xfId="0" applyFill="1" applyAlignment="1" applyProtection="1"/>
    <xf numFmtId="0" fontId="3" fillId="0" borderId="0" xfId="0" applyFont="1" applyAlignment="1" applyProtection="1">
      <alignment horizontal="center" vertical="center"/>
    </xf>
    <xf numFmtId="6" fontId="2" fillId="3" borderId="6" xfId="0" applyNumberFormat="1" applyFont="1" applyFill="1" applyBorder="1" applyAlignment="1" applyProtection="1"/>
    <xf numFmtId="6" fontId="14" fillId="0" borderId="5" xfId="0" applyNumberFormat="1" applyFont="1" applyBorder="1" applyAlignment="1" applyProtection="1">
      <alignment vertical="center"/>
    </xf>
    <xf numFmtId="6" fontId="14" fillId="0" borderId="10" xfId="0" applyNumberFormat="1" applyFont="1" applyBorder="1" applyAlignment="1" applyProtection="1">
      <alignment vertical="center"/>
    </xf>
    <xf numFmtId="6" fontId="14" fillId="0" borderId="22" xfId="0" applyNumberFormat="1" applyFont="1" applyBorder="1" applyAlignment="1" applyProtection="1">
      <alignment vertical="center"/>
    </xf>
    <xf numFmtId="6" fontId="14" fillId="0" borderId="21" xfId="0" applyNumberFormat="1" applyFont="1" applyBorder="1" applyAlignment="1" applyProtection="1">
      <alignment vertical="center"/>
    </xf>
    <xf numFmtId="6" fontId="14" fillId="0" borderId="24" xfId="0" applyNumberFormat="1" applyFont="1" applyBorder="1" applyAlignment="1" applyProtection="1">
      <alignment vertical="center"/>
    </xf>
    <xf numFmtId="0" fontId="6" fillId="0" borderId="0" xfId="0" applyFont="1" applyFill="1" applyBorder="1" applyAlignment="1" applyProtection="1"/>
    <xf numFmtId="0" fontId="2" fillId="4" borderId="2" xfId="0" applyFont="1" applyFill="1" applyBorder="1" applyAlignment="1" applyProtection="1">
      <alignment horizontal="left" vertical="center"/>
    </xf>
    <xf numFmtId="0" fontId="0" fillId="4" borderId="21" xfId="0" applyFill="1" applyBorder="1" applyAlignment="1" applyProtection="1"/>
    <xf numFmtId="0" fontId="2" fillId="4" borderId="3" xfId="0" applyFont="1" applyFill="1" applyBorder="1" applyAlignment="1" applyProtection="1">
      <alignment horizontal="center"/>
    </xf>
    <xf numFmtId="0" fontId="2" fillId="4" borderId="2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2" xfId="0" applyFont="1" applyFill="1" applyBorder="1" applyAlignment="1" applyProtection="1">
      <alignment horizontal="center" vertical="center"/>
    </xf>
    <xf numFmtId="0" fontId="2" fillId="4" borderId="23" xfId="0" applyFont="1" applyFill="1" applyBorder="1" applyAlignment="1" applyProtection="1">
      <alignment horizontal="center" vertical="center"/>
    </xf>
    <xf numFmtId="0" fontId="2" fillId="4" borderId="21" xfId="0" applyFont="1" applyFill="1" applyBorder="1" applyAlignment="1" applyProtection="1">
      <alignment horizontal="center" vertical="center"/>
    </xf>
    <xf numFmtId="0" fontId="2" fillId="4" borderId="3" xfId="0" applyFont="1" applyFill="1" applyBorder="1" applyAlignment="1" applyProtection="1">
      <alignment horizontal="center" vertical="center"/>
    </xf>
    <xf numFmtId="0" fontId="2" fillId="4" borderId="4" xfId="0" applyFont="1" applyFill="1" applyBorder="1" applyAlignment="1" applyProtection="1">
      <alignment horizontal="center" vertical="center"/>
    </xf>
    <xf numFmtId="0" fontId="2" fillId="4" borderId="22" xfId="0" applyFont="1" applyFill="1" applyBorder="1" applyAlignment="1" applyProtection="1">
      <alignment horizontal="center" vertical="center"/>
    </xf>
    <xf numFmtId="0" fontId="11" fillId="4" borderId="11" xfId="0" applyFont="1" applyFill="1" applyBorder="1" applyAlignment="1">
      <alignment horizontal="center" vertical="center"/>
    </xf>
    <xf numFmtId="0" fontId="6" fillId="0" borderId="0" xfId="0" applyFont="1" applyAlignment="1" applyProtection="1">
      <alignment horizontal="left"/>
    </xf>
    <xf numFmtId="0" fontId="0" fillId="0" borderId="0" xfId="0" applyBorder="1"/>
    <xf numFmtId="0" fontId="0" fillId="0" borderId="0" xfId="0"/>
    <xf numFmtId="0" fontId="6" fillId="0" borderId="0" xfId="0" applyFont="1"/>
    <xf numFmtId="0" fontId="19" fillId="0" borderId="82" xfId="1" applyFont="1" applyBorder="1" applyAlignment="1">
      <alignment vertical="center" wrapText="1"/>
    </xf>
    <xf numFmtId="0" fontId="2" fillId="0" borderId="4" xfId="1" applyFont="1" applyBorder="1" applyAlignment="1">
      <alignment vertical="center" wrapText="1"/>
    </xf>
    <xf numFmtId="0" fontId="3" fillId="0" borderId="19" xfId="1" applyFont="1" applyBorder="1" applyAlignment="1">
      <alignment vertical="center"/>
    </xf>
    <xf numFmtId="0" fontId="3" fillId="0" borderId="68" xfId="1" applyFont="1" applyBorder="1" applyAlignment="1">
      <alignment vertical="center"/>
    </xf>
    <xf numFmtId="0" fontId="9" fillId="0" borderId="61" xfId="1" applyFont="1" applyFill="1" applyBorder="1" applyAlignment="1">
      <alignment horizontal="center" vertical="center"/>
    </xf>
    <xf numFmtId="0" fontId="9" fillId="0" borderId="6" xfId="1" applyFont="1" applyFill="1" applyBorder="1" applyAlignment="1">
      <alignment vertical="center" wrapText="1"/>
    </xf>
    <xf numFmtId="0" fontId="9" fillId="0" borderId="6" xfId="1" applyFont="1" applyFill="1" applyBorder="1" applyAlignment="1">
      <alignment horizontal="center" vertical="center" wrapText="1"/>
    </xf>
    <xf numFmtId="0" fontId="9" fillId="5" borderId="6" xfId="1" applyFont="1" applyFill="1" applyBorder="1" applyAlignment="1">
      <alignment horizontal="center" vertical="center" wrapText="1"/>
    </xf>
    <xf numFmtId="0" fontId="9" fillId="5" borderId="6" xfId="1" applyFont="1" applyFill="1" applyBorder="1" applyAlignment="1">
      <alignment horizontal="center" vertical="center"/>
    </xf>
    <xf numFmtId="0" fontId="9" fillId="0" borderId="62" xfId="1" applyFont="1" applyBorder="1" applyAlignment="1">
      <alignment vertical="center" wrapText="1"/>
    </xf>
    <xf numFmtId="0" fontId="9" fillId="0" borderId="62" xfId="1" applyFont="1" applyBorder="1" applyAlignment="1">
      <alignment vertical="center"/>
    </xf>
    <xf numFmtId="0" fontId="9" fillId="0" borderId="63" xfId="1" applyFont="1" applyFill="1" applyBorder="1" applyAlignment="1">
      <alignment horizontal="center" vertical="center"/>
    </xf>
    <xf numFmtId="0" fontId="9" fillId="0" borderId="6" xfId="1" applyFont="1" applyBorder="1" applyAlignment="1">
      <alignment vertical="center" wrapText="1"/>
    </xf>
    <xf numFmtId="0" fontId="9" fillId="0" borderId="62" xfId="1" applyFont="1" applyFill="1" applyBorder="1" applyAlignment="1">
      <alignment vertical="center" wrapText="1"/>
    </xf>
    <xf numFmtId="0" fontId="9" fillId="0" borderId="61" xfId="1" applyFont="1" applyBorder="1" applyAlignment="1">
      <alignment horizontal="center" vertical="center"/>
    </xf>
    <xf numFmtId="0" fontId="9" fillId="6" borderId="6" xfId="1" applyFont="1" applyFill="1" applyBorder="1" applyAlignment="1">
      <alignment horizontal="center" vertical="center" wrapText="1"/>
    </xf>
    <xf numFmtId="0" fontId="9" fillId="6" borderId="6" xfId="1" applyFont="1" applyFill="1" applyBorder="1" applyAlignment="1">
      <alignment horizontal="center" vertical="center"/>
    </xf>
    <xf numFmtId="0" fontId="9" fillId="0" borderId="6" xfId="1" applyFont="1" applyFill="1" applyBorder="1" applyAlignment="1">
      <alignment horizontal="center" vertical="center"/>
    </xf>
    <xf numFmtId="0" fontId="9" fillId="0" borderId="65" xfId="1" applyFont="1" applyBorder="1" applyAlignment="1">
      <alignment horizontal="center" vertical="center"/>
    </xf>
    <xf numFmtId="0" fontId="9" fillId="0" borderId="24" xfId="1" applyFont="1" applyFill="1" applyBorder="1" applyAlignment="1">
      <alignment vertical="center" wrapText="1"/>
    </xf>
    <xf numFmtId="0" fontId="9" fillId="5" borderId="24" xfId="1" applyFont="1" applyFill="1" applyBorder="1" applyAlignment="1">
      <alignment horizontal="center" vertical="center" wrapText="1"/>
    </xf>
    <xf numFmtId="0" fontId="9" fillId="0" borderId="24" xfId="1" applyFont="1" applyFill="1" applyBorder="1" applyAlignment="1">
      <alignment horizontal="center" vertical="center" wrapText="1"/>
    </xf>
    <xf numFmtId="0" fontId="9" fillId="0" borderId="24" xfId="1" applyFont="1" applyFill="1" applyBorder="1" applyAlignment="1">
      <alignment horizontal="center" vertical="center"/>
    </xf>
    <xf numFmtId="0" fontId="9" fillId="0" borderId="66" xfId="1" applyFont="1" applyFill="1" applyBorder="1" applyAlignment="1">
      <alignment vertical="center" wrapText="1"/>
    </xf>
    <xf numFmtId="0" fontId="9" fillId="0" borderId="64" xfId="1" applyFont="1" applyBorder="1" applyAlignment="1">
      <alignment horizontal="center" vertical="center"/>
    </xf>
    <xf numFmtId="0" fontId="9" fillId="0" borderId="26" xfId="1" applyFont="1" applyBorder="1" applyAlignment="1">
      <alignment vertical="center" wrapText="1"/>
    </xf>
    <xf numFmtId="0" fontId="9" fillId="5" borderId="26" xfId="1" applyFont="1" applyFill="1" applyBorder="1" applyAlignment="1">
      <alignment horizontal="center" vertical="center" wrapText="1"/>
    </xf>
    <xf numFmtId="0" fontId="9" fillId="0" borderId="26" xfId="1" applyFont="1" applyBorder="1" applyAlignment="1">
      <alignment horizontal="center" vertical="center" wrapText="1"/>
    </xf>
    <xf numFmtId="0" fontId="9" fillId="0" borderId="26" xfId="1" applyFont="1" applyBorder="1" applyAlignment="1">
      <alignment horizontal="center" vertical="center"/>
    </xf>
    <xf numFmtId="0" fontId="9" fillId="0" borderId="67" xfId="1" applyFont="1" applyBorder="1" applyAlignment="1">
      <alignment vertical="center" wrapText="1"/>
    </xf>
    <xf numFmtId="0" fontId="9" fillId="0" borderId="6" xfId="1" applyFont="1" applyBorder="1" applyAlignment="1">
      <alignment horizontal="center" vertical="center" wrapText="1"/>
    </xf>
    <xf numFmtId="0" fontId="9" fillId="0" borderId="6" xfId="1" applyFont="1" applyBorder="1" applyAlignment="1">
      <alignment horizontal="center" vertical="center"/>
    </xf>
    <xf numFmtId="0" fontId="9" fillId="0" borderId="61" xfId="1" applyFont="1" applyBorder="1" applyAlignment="1">
      <alignment horizontal="center" vertical="center" wrapText="1"/>
    </xf>
    <xf numFmtId="0" fontId="9" fillId="0" borderId="0" xfId="1" applyFont="1" applyAlignment="1">
      <alignment vertical="center" wrapText="1"/>
    </xf>
    <xf numFmtId="0" fontId="3" fillId="0" borderId="0" xfId="1" applyFont="1" applyAlignment="1">
      <alignment wrapText="1"/>
    </xf>
    <xf numFmtId="0" fontId="3" fillId="0" borderId="0" xfId="1" applyFont="1" applyFill="1" applyAlignment="1">
      <alignment vertical="top" wrapText="1"/>
    </xf>
    <xf numFmtId="0" fontId="9" fillId="0" borderId="0" xfId="1" applyFont="1" applyAlignment="1">
      <alignment wrapText="1"/>
    </xf>
    <xf numFmtId="0" fontId="9" fillId="0" borderId="0" xfId="1" applyFont="1" applyFill="1" applyAlignment="1"/>
    <xf numFmtId="166" fontId="9" fillId="0" borderId="65" xfId="1" applyNumberFormat="1" applyFont="1" applyFill="1" applyBorder="1" applyAlignment="1">
      <alignment horizontal="center" vertical="center"/>
    </xf>
    <xf numFmtId="0" fontId="9" fillId="0" borderId="24" xfId="1" applyFont="1" applyFill="1" applyBorder="1" applyAlignment="1">
      <alignment horizontal="center" vertical="center"/>
    </xf>
    <xf numFmtId="0" fontId="0" fillId="0" borderId="28" xfId="0" applyBorder="1" applyAlignment="1" applyProtection="1">
      <alignment horizontal="center"/>
      <protection locked="0"/>
    </xf>
    <xf numFmtId="0" fontId="0" fillId="3" borderId="83" xfId="0" applyFill="1" applyBorder="1" applyAlignment="1" applyProtection="1">
      <alignment horizontal="center"/>
      <protection locked="0"/>
    </xf>
    <xf numFmtId="0" fontId="0" fillId="3" borderId="84" xfId="0" applyFill="1" applyBorder="1" applyAlignment="1" applyProtection="1">
      <protection locked="0"/>
    </xf>
    <xf numFmtId="0" fontId="0" fillId="0" borderId="0" xfId="0" applyAlignment="1"/>
    <xf numFmtId="0" fontId="6" fillId="0" borderId="46" xfId="0" applyFont="1" applyFill="1" applyBorder="1" applyAlignment="1" applyProtection="1">
      <alignment horizontal="left" vertical="center"/>
    </xf>
    <xf numFmtId="0" fontId="6" fillId="0" borderId="49" xfId="0" applyFont="1" applyFill="1" applyBorder="1" applyAlignment="1" applyProtection="1">
      <alignment horizontal="left" vertical="center"/>
    </xf>
    <xf numFmtId="0" fontId="6" fillId="0" borderId="56" xfId="0" applyFont="1" applyFill="1" applyBorder="1" applyAlignment="1" applyProtection="1">
      <alignment horizontal="left" vertical="center"/>
    </xf>
    <xf numFmtId="0" fontId="6" fillId="0" borderId="47" xfId="0" applyFont="1" applyFill="1" applyBorder="1" applyAlignment="1" applyProtection="1">
      <alignment horizontal="left" vertical="center"/>
    </xf>
    <xf numFmtId="0" fontId="6" fillId="0" borderId="48" xfId="0" quotePrefix="1" applyFont="1" applyFill="1" applyBorder="1" applyAlignment="1" applyProtection="1">
      <alignment horizontal="left" vertical="center"/>
    </xf>
    <xf numFmtId="0" fontId="6" fillId="0" borderId="57" xfId="0" quotePrefix="1" applyFont="1" applyFill="1" applyBorder="1" applyAlignment="1" applyProtection="1">
      <alignment horizontal="left" vertical="center"/>
    </xf>
    <xf numFmtId="0" fontId="2" fillId="0" borderId="0" xfId="0" applyFont="1" applyFill="1" applyBorder="1" applyAlignment="1" applyProtection="1">
      <alignment horizontal="center" vertical="center"/>
    </xf>
    <xf numFmtId="0" fontId="0" fillId="0" borderId="40" xfId="0" applyFill="1" applyBorder="1" applyAlignment="1" applyProtection="1">
      <alignment horizontal="left" vertical="center"/>
    </xf>
    <xf numFmtId="0" fontId="0" fillId="0" borderId="41" xfId="0" applyFill="1" applyBorder="1" applyAlignment="1" applyProtection="1">
      <alignment horizontal="left" vertical="center"/>
    </xf>
    <xf numFmtId="0" fontId="6" fillId="0" borderId="40" xfId="0" applyFont="1" applyFill="1" applyBorder="1" applyAlignment="1" applyProtection="1">
      <alignment horizontal="left" vertical="center"/>
      <protection locked="0"/>
    </xf>
    <xf numFmtId="0" fontId="6" fillId="0" borderId="41" xfId="0" applyFont="1" applyFill="1" applyBorder="1" applyAlignment="1" applyProtection="1">
      <alignment horizontal="left" vertical="center"/>
      <protection locked="0"/>
    </xf>
    <xf numFmtId="0" fontId="6" fillId="0" borderId="43" xfId="0" applyFont="1" applyFill="1" applyBorder="1" applyAlignment="1" applyProtection="1">
      <alignment horizontal="left" vertical="center"/>
      <protection locked="0"/>
    </xf>
    <xf numFmtId="0" fontId="6" fillId="0" borderId="44" xfId="0" applyFont="1" applyFill="1" applyBorder="1" applyAlignment="1" applyProtection="1">
      <alignment horizontal="left" vertical="center"/>
    </xf>
    <xf numFmtId="0" fontId="6" fillId="0" borderId="45" xfId="0" applyFont="1" applyFill="1" applyBorder="1" applyAlignment="1" applyProtection="1">
      <alignment horizontal="left" vertical="center"/>
    </xf>
    <xf numFmtId="0" fontId="6" fillId="0" borderId="42" xfId="0" applyFont="1" applyFill="1" applyBorder="1" applyAlignment="1" applyProtection="1">
      <alignment horizontal="left" vertical="center"/>
    </xf>
    <xf numFmtId="0" fontId="11" fillId="0" borderId="18" xfId="0" applyFont="1" applyFill="1" applyBorder="1" applyAlignment="1" applyProtection="1">
      <alignment horizontal="center" vertical="center"/>
    </xf>
    <xf numFmtId="0" fontId="11" fillId="0" borderId="19" xfId="0" applyFont="1" applyFill="1" applyBorder="1" applyAlignment="1" applyProtection="1">
      <alignment horizontal="center" vertical="center"/>
    </xf>
    <xf numFmtId="0" fontId="11" fillId="0" borderId="11" xfId="0" applyFont="1" applyFill="1" applyBorder="1" applyAlignment="1" applyProtection="1">
      <alignment horizontal="center" vertical="center"/>
    </xf>
    <xf numFmtId="0" fontId="2" fillId="0" borderId="50" xfId="0" applyFont="1" applyFill="1" applyBorder="1" applyAlignment="1" applyProtection="1">
      <alignment horizontal="left" vertical="center"/>
    </xf>
    <xf numFmtId="0" fontId="6" fillId="0" borderId="40" xfId="0" applyFont="1" applyFill="1" applyBorder="1" applyAlignment="1" applyProtection="1">
      <alignment horizontal="left" vertical="center"/>
    </xf>
    <xf numFmtId="0" fontId="6" fillId="0" borderId="41" xfId="0" applyFont="1" applyFill="1" applyBorder="1" applyAlignment="1" applyProtection="1">
      <alignment horizontal="left" vertical="center"/>
    </xf>
    <xf numFmtId="0" fontId="6" fillId="0" borderId="52" xfId="0" applyFont="1" applyFill="1" applyBorder="1" applyAlignment="1" applyProtection="1">
      <alignment horizontal="left" vertical="center"/>
    </xf>
    <xf numFmtId="0" fontId="6" fillId="0" borderId="50" xfId="0" applyFont="1" applyFill="1" applyBorder="1" applyAlignment="1" applyProtection="1">
      <alignment horizontal="left" vertical="center"/>
    </xf>
    <xf numFmtId="0" fontId="6" fillId="0" borderId="53" xfId="0" applyFont="1" applyFill="1" applyBorder="1" applyAlignment="1" applyProtection="1">
      <alignment horizontal="left" vertical="center"/>
    </xf>
    <xf numFmtId="0" fontId="6" fillId="0" borderId="51" xfId="0" applyFont="1" applyFill="1" applyBorder="1" applyAlignment="1" applyProtection="1">
      <alignment horizontal="left" vertical="center"/>
    </xf>
    <xf numFmtId="0" fontId="6" fillId="0" borderId="39" xfId="0" applyFont="1" applyFill="1" applyBorder="1" applyAlignment="1" applyProtection="1">
      <alignment horizontal="left" vertical="center"/>
    </xf>
    <xf numFmtId="0" fontId="6" fillId="0" borderId="39" xfId="0" applyFont="1" applyFill="1" applyBorder="1" applyAlignment="1" applyProtection="1">
      <alignment horizontal="left" vertical="center"/>
      <protection locked="0"/>
    </xf>
    <xf numFmtId="0" fontId="6" fillId="0" borderId="51" xfId="0" applyFont="1" applyFill="1" applyBorder="1" applyAlignment="1" applyProtection="1">
      <alignment horizontal="center" vertical="center"/>
    </xf>
    <xf numFmtId="0" fontId="6" fillId="0" borderId="58" xfId="0" applyFont="1" applyFill="1" applyBorder="1" applyAlignment="1" applyProtection="1">
      <alignment horizontal="left" vertical="center"/>
    </xf>
    <xf numFmtId="0" fontId="6" fillId="0" borderId="54" xfId="0" applyFont="1" applyFill="1" applyBorder="1" applyAlignment="1" applyProtection="1">
      <alignment horizontal="left" vertical="center"/>
    </xf>
    <xf numFmtId="0" fontId="17" fillId="0" borderId="29" xfId="0" applyFont="1" applyFill="1" applyBorder="1" applyAlignment="1">
      <alignment horizontal="center" vertical="center"/>
    </xf>
    <xf numFmtId="0" fontId="17" fillId="0" borderId="20" xfId="0" applyFont="1" applyFill="1" applyBorder="1" applyAlignment="1">
      <alignment horizontal="center" vertical="center"/>
    </xf>
    <xf numFmtId="0" fontId="17" fillId="0" borderId="30" xfId="0" applyFont="1" applyFill="1" applyBorder="1" applyAlignment="1">
      <alignment horizontal="center" vertical="center"/>
    </xf>
    <xf numFmtId="0" fontId="16" fillId="0" borderId="0" xfId="0" applyFont="1" applyFill="1" applyBorder="1" applyAlignment="1" applyProtection="1">
      <alignment horizontal="center" vertical="center"/>
    </xf>
    <xf numFmtId="22" fontId="4" fillId="0" borderId="0" xfId="0" applyNumberFormat="1" applyFont="1" applyFill="1" applyBorder="1" applyAlignment="1" applyProtection="1">
      <alignment horizontal="left"/>
    </xf>
    <xf numFmtId="0" fontId="0" fillId="0" borderId="0" xfId="0" applyBorder="1" applyAlignment="1" applyProtection="1"/>
    <xf numFmtId="0" fontId="6" fillId="0" borderId="0" xfId="0" applyFont="1" applyFill="1" applyBorder="1" applyAlignment="1" applyProtection="1">
      <alignment horizontal="center" vertical="center"/>
    </xf>
    <xf numFmtId="0" fontId="6" fillId="0" borderId="18" xfId="0" applyFont="1" applyFill="1" applyBorder="1" applyAlignment="1" applyProtection="1">
      <alignment horizontal="left" vertical="center"/>
      <protection locked="0"/>
    </xf>
    <xf numFmtId="0" fontId="6" fillId="0" borderId="19" xfId="0" applyFont="1" applyFill="1" applyBorder="1" applyAlignment="1" applyProtection="1">
      <alignment horizontal="left" vertical="center"/>
      <protection locked="0"/>
    </xf>
    <xf numFmtId="0" fontId="6" fillId="0" borderId="11" xfId="0" applyFont="1" applyFill="1" applyBorder="1" applyAlignment="1" applyProtection="1">
      <alignment horizontal="left" vertical="center"/>
      <protection locked="0"/>
    </xf>
    <xf numFmtId="0" fontId="2" fillId="0" borderId="50" xfId="0" applyFont="1" applyBorder="1" applyAlignment="1" applyProtection="1">
      <alignment horizontal="left" vertical="center"/>
    </xf>
    <xf numFmtId="0" fontId="2" fillId="0" borderId="0" xfId="0" applyFont="1" applyBorder="1" applyAlignment="1" applyProtection="1">
      <alignment horizontal="left" vertical="center"/>
    </xf>
    <xf numFmtId="0" fontId="6" fillId="0" borderId="55" xfId="0" applyFont="1" applyFill="1" applyBorder="1" applyAlignment="1" applyProtection="1">
      <alignment horizontal="left" vertical="center"/>
    </xf>
    <xf numFmtId="0" fontId="17" fillId="0" borderId="29" xfId="0" applyFont="1" applyFill="1" applyBorder="1" applyAlignment="1" applyProtection="1">
      <alignment horizontal="center" vertical="center"/>
    </xf>
    <xf numFmtId="0" fontId="17" fillId="0" borderId="20" xfId="0" applyFont="1" applyFill="1" applyBorder="1" applyAlignment="1" applyProtection="1">
      <alignment horizontal="center" vertical="center"/>
    </xf>
    <xf numFmtId="0" fontId="17" fillId="0" borderId="30" xfId="0" applyFont="1" applyFill="1" applyBorder="1" applyAlignment="1" applyProtection="1">
      <alignment horizontal="center" vertical="center"/>
    </xf>
    <xf numFmtId="0" fontId="6" fillId="0" borderId="0" xfId="0" applyFont="1" applyBorder="1" applyAlignment="1" applyProtection="1">
      <alignment horizontal="left"/>
    </xf>
    <xf numFmtId="0" fontId="0" fillId="0" borderId="28" xfId="0" applyFill="1" applyBorder="1" applyAlignment="1" applyProtection="1">
      <alignment horizontal="right"/>
      <protection locked="0"/>
    </xf>
    <xf numFmtId="0" fontId="12" fillId="0" borderId="0" xfId="0" applyFont="1" applyAlignment="1" applyProtection="1">
      <alignment horizontal="left"/>
    </xf>
    <xf numFmtId="0" fontId="6" fillId="0" borderId="28" xfId="0" applyFont="1" applyBorder="1" applyAlignment="1" applyProtection="1">
      <protection locked="0"/>
    </xf>
    <xf numFmtId="0" fontId="6" fillId="0" borderId="0" xfId="0" applyFont="1" applyFill="1" applyBorder="1" applyAlignment="1" applyProtection="1">
      <alignment horizontal="left"/>
    </xf>
    <xf numFmtId="0" fontId="6" fillId="0" borderId="0" xfId="0" applyFont="1" applyFill="1" applyAlignment="1" applyProtection="1">
      <alignment horizontal="left"/>
    </xf>
    <xf numFmtId="0" fontId="0" fillId="0" borderId="28" xfId="0" applyFill="1" applyBorder="1" applyAlignment="1" applyProtection="1">
      <alignment horizontal="left"/>
      <protection locked="0"/>
    </xf>
    <xf numFmtId="0" fontId="12" fillId="0" borderId="0" xfId="0" applyFont="1" applyBorder="1" applyAlignment="1" applyProtection="1">
      <alignment horizontal="left"/>
    </xf>
    <xf numFmtId="0" fontId="6" fillId="0" borderId="0" xfId="0" applyFont="1" applyFill="1" applyBorder="1" applyAlignment="1" applyProtection="1">
      <protection locked="0"/>
    </xf>
    <xf numFmtId="0" fontId="6" fillId="0" borderId="0" xfId="0" applyFont="1" applyBorder="1" applyAlignment="1" applyProtection="1">
      <protection locked="0"/>
    </xf>
    <xf numFmtId="0" fontId="12" fillId="0" borderId="0" xfId="0" applyFont="1" applyFill="1" applyAlignment="1" applyProtection="1"/>
    <xf numFmtId="0" fontId="6" fillId="0" borderId="28" xfId="0" applyFont="1" applyFill="1" applyBorder="1" applyAlignment="1" applyProtection="1">
      <alignment horizontal="left"/>
      <protection locked="0"/>
    </xf>
    <xf numFmtId="0" fontId="12" fillId="0" borderId="4" xfId="0" applyFont="1" applyFill="1" applyBorder="1" applyAlignment="1" applyProtection="1"/>
    <xf numFmtId="0" fontId="0" fillId="0" borderId="0" xfId="0" applyBorder="1" applyAlignment="1" applyProtection="1">
      <alignment horizontal="left"/>
    </xf>
    <xf numFmtId="0" fontId="6" fillId="0" borderId="28" xfId="0" applyFont="1" applyFill="1" applyBorder="1" applyAlignment="1" applyProtection="1">
      <protection locked="0"/>
    </xf>
    <xf numFmtId="0" fontId="12" fillId="0" borderId="0" xfId="0" applyFont="1" applyFill="1" applyBorder="1" applyAlignment="1" applyProtection="1">
      <alignment horizontal="left"/>
    </xf>
    <xf numFmtId="0" fontId="12" fillId="0" borderId="0" xfId="0" applyFont="1" applyFill="1" applyAlignment="1" applyProtection="1">
      <alignment horizontal="left"/>
    </xf>
    <xf numFmtId="0" fontId="6" fillId="0" borderId="0" xfId="0" applyFont="1" applyAlignment="1" applyProtection="1"/>
    <xf numFmtId="0" fontId="0" fillId="0" borderId="0" xfId="0" applyAlignment="1" applyProtection="1"/>
    <xf numFmtId="0" fontId="6" fillId="0" borderId="0" xfId="0" applyFont="1" applyAlignment="1" applyProtection="1">
      <alignment horizontal="left"/>
    </xf>
    <xf numFmtId="0" fontId="0" fillId="0" borderId="0" xfId="0" applyAlignment="1" applyProtection="1">
      <alignment horizontal="left"/>
    </xf>
    <xf numFmtId="0" fontId="0" fillId="0" borderId="9" xfId="0" applyBorder="1" applyAlignment="1" applyProtection="1">
      <protection locked="0"/>
    </xf>
    <xf numFmtId="0" fontId="0" fillId="0" borderId="9" xfId="0" applyFill="1" applyBorder="1" applyAlignment="1" applyProtection="1">
      <alignment horizontal="left"/>
      <protection locked="0"/>
    </xf>
    <xf numFmtId="0" fontId="0" fillId="0" borderId="9" xfId="0" applyBorder="1" applyAlignment="1" applyProtection="1">
      <alignment horizontal="left"/>
      <protection locked="0"/>
    </xf>
    <xf numFmtId="0" fontId="0" fillId="0" borderId="27" xfId="0" applyFill="1" applyBorder="1" applyAlignment="1" applyProtection="1">
      <alignment vertical="top" wrapText="1"/>
    </xf>
    <xf numFmtId="0" fontId="0" fillId="0" borderId="27" xfId="0" applyBorder="1" applyAlignment="1" applyProtection="1">
      <alignment vertical="top" wrapText="1"/>
    </xf>
    <xf numFmtId="0" fontId="0" fillId="0" borderId="0" xfId="0" applyFill="1" applyBorder="1" applyAlignment="1" applyProtection="1">
      <alignment vertical="top" wrapText="1"/>
    </xf>
    <xf numFmtId="0" fontId="0" fillId="0" borderId="0" xfId="0" applyAlignment="1" applyProtection="1">
      <alignment vertical="top" wrapText="1"/>
    </xf>
    <xf numFmtId="0" fontId="0" fillId="0" borderId="27" xfId="0" applyBorder="1" applyAlignment="1" applyProtection="1"/>
    <xf numFmtId="0" fontId="13" fillId="0" borderId="0" xfId="0" applyFont="1" applyBorder="1" applyAlignment="1" applyProtection="1">
      <alignment horizontal="left"/>
    </xf>
    <xf numFmtId="0" fontId="13" fillId="0" borderId="0" xfId="0" applyFont="1" applyAlignment="1" applyProtection="1">
      <alignment horizontal="left"/>
    </xf>
    <xf numFmtId="0" fontId="6" fillId="0" borderId="28" xfId="0" applyFont="1" applyFill="1" applyBorder="1" applyAlignment="1" applyProtection="1">
      <alignment horizontal="left" vertical="center"/>
      <protection locked="0"/>
    </xf>
    <xf numFmtId="0" fontId="0" fillId="0" borderId="28" xfId="0" applyFill="1" applyBorder="1" applyAlignment="1" applyProtection="1">
      <alignment vertical="center"/>
      <protection locked="0"/>
    </xf>
    <xf numFmtId="0" fontId="13" fillId="0" borderId="4" xfId="0" applyFont="1" applyBorder="1" applyAlignment="1" applyProtection="1">
      <alignment horizontal="left"/>
    </xf>
    <xf numFmtId="0" fontId="0" fillId="0" borderId="4" xfId="0" applyBorder="1" applyAlignment="1" applyProtection="1"/>
    <xf numFmtId="0" fontId="2" fillId="4" borderId="23" xfId="0" applyFont="1" applyFill="1" applyBorder="1" applyAlignment="1" applyProtection="1">
      <alignment horizontal="left" vertical="center"/>
    </xf>
    <xf numFmtId="0" fontId="0" fillId="4" borderId="23" xfId="0" applyFill="1" applyBorder="1" applyAlignment="1" applyProtection="1"/>
    <xf numFmtId="0" fontId="0" fillId="4" borderId="4" xfId="0" applyFill="1" applyBorder="1" applyAlignment="1" applyProtection="1"/>
    <xf numFmtId="0" fontId="2" fillId="4" borderId="2" xfId="0" applyFont="1" applyFill="1" applyBorder="1" applyAlignment="1" applyProtection="1">
      <alignment horizontal="center" vertical="center"/>
    </xf>
    <xf numFmtId="0" fontId="2" fillId="4" borderId="23" xfId="0" applyFont="1" applyFill="1" applyBorder="1" applyAlignment="1" applyProtection="1">
      <alignment horizontal="center" vertical="center"/>
    </xf>
    <xf numFmtId="0" fontId="2" fillId="4" borderId="21" xfId="0" applyFont="1" applyFill="1" applyBorder="1" applyAlignment="1" applyProtection="1">
      <alignment horizontal="center" vertical="center"/>
    </xf>
    <xf numFmtId="0" fontId="2" fillId="4" borderId="3" xfId="0" applyFont="1" applyFill="1" applyBorder="1" applyAlignment="1" applyProtection="1">
      <alignment horizontal="center" vertical="center"/>
    </xf>
    <xf numFmtId="0" fontId="2" fillId="4" borderId="4" xfId="0" applyFont="1" applyFill="1" applyBorder="1" applyAlignment="1" applyProtection="1">
      <alignment horizontal="center" vertical="center"/>
    </xf>
    <xf numFmtId="0" fontId="2" fillId="4" borderId="22" xfId="0" applyFont="1" applyFill="1" applyBorder="1" applyAlignment="1" applyProtection="1">
      <alignment horizontal="center" vertical="center"/>
    </xf>
    <xf numFmtId="0" fontId="2" fillId="4" borderId="26" xfId="0" applyFont="1" applyFill="1" applyBorder="1" applyAlignment="1" applyProtection="1">
      <alignment horizontal="center" vertical="center"/>
    </xf>
    <xf numFmtId="0" fontId="2" fillId="4" borderId="25" xfId="0" applyFont="1" applyFill="1" applyBorder="1" applyAlignment="1" applyProtection="1">
      <alignment horizontal="center" vertical="center"/>
    </xf>
    <xf numFmtId="0" fontId="6" fillId="0" borderId="23" xfId="0" applyFont="1" applyFill="1" applyBorder="1" applyAlignment="1" applyProtection="1">
      <alignment horizontal="left" vertical="center"/>
    </xf>
    <xf numFmtId="0" fontId="6" fillId="0" borderId="21" xfId="0" applyFont="1" applyFill="1" applyBorder="1" applyAlignment="1" applyProtection="1">
      <alignment horizontal="left" vertical="center"/>
    </xf>
    <xf numFmtId="0" fontId="0" fillId="0" borderId="31" xfId="0" applyFill="1" applyBorder="1" applyAlignment="1" applyProtection="1">
      <alignment horizontal="left"/>
      <protection locked="0"/>
    </xf>
    <xf numFmtId="0" fontId="0" fillId="0" borderId="37" xfId="0" applyFill="1" applyBorder="1" applyAlignment="1" applyProtection="1">
      <alignment horizontal="left"/>
      <protection locked="0"/>
    </xf>
    <xf numFmtId="0" fontId="0" fillId="0" borderId="38" xfId="0" applyFill="1" applyBorder="1" applyAlignment="1" applyProtection="1">
      <alignment horizontal="left"/>
      <protection locked="0"/>
    </xf>
    <xf numFmtId="0" fontId="15" fillId="0" borderId="0" xfId="0" applyFont="1" applyFill="1" applyBorder="1" applyAlignment="1" applyProtection="1">
      <alignment horizontal="left" vertical="center"/>
    </xf>
    <xf numFmtId="0" fontId="15" fillId="0" borderId="0" xfId="0" applyFont="1" applyFill="1" applyAlignment="1" applyProtection="1">
      <alignment horizontal="left" vertical="center"/>
    </xf>
    <xf numFmtId="0" fontId="15" fillId="0" borderId="5" xfId="0" applyFont="1" applyFill="1" applyBorder="1" applyAlignment="1" applyProtection="1">
      <alignment horizontal="left" vertical="center"/>
    </xf>
    <xf numFmtId="0" fontId="0" fillId="0" borderId="33" xfId="0" applyFill="1" applyBorder="1" applyAlignment="1" applyProtection="1">
      <alignment horizontal="left"/>
      <protection locked="0"/>
    </xf>
    <xf numFmtId="0" fontId="0" fillId="0" borderId="35" xfId="0" applyFill="1" applyBorder="1" applyAlignment="1" applyProtection="1">
      <alignment horizontal="left"/>
      <protection locked="0"/>
    </xf>
    <xf numFmtId="0" fontId="0" fillId="0" borderId="36" xfId="0" applyFill="1" applyBorder="1" applyAlignment="1" applyProtection="1">
      <alignment horizontal="left"/>
      <protection locked="0"/>
    </xf>
    <xf numFmtId="0" fontId="6" fillId="0" borderId="0" xfId="0" applyFont="1" applyFill="1" applyBorder="1" applyAlignment="1" applyProtection="1">
      <alignment horizontal="left" vertical="center"/>
    </xf>
    <xf numFmtId="0" fontId="6" fillId="0" borderId="5" xfId="0" applyFont="1" applyFill="1" applyBorder="1" applyAlignment="1" applyProtection="1">
      <alignment horizontal="left" vertical="center"/>
    </xf>
    <xf numFmtId="0" fontId="6" fillId="0" borderId="4" xfId="0" applyFont="1" applyFill="1" applyBorder="1" applyAlignment="1" applyProtection="1">
      <alignment horizontal="left" vertical="center"/>
    </xf>
    <xf numFmtId="0" fontId="6" fillId="0" borderId="22" xfId="0" applyFont="1" applyFill="1" applyBorder="1" applyAlignment="1" applyProtection="1">
      <alignment horizontal="left" vertical="center"/>
    </xf>
    <xf numFmtId="0" fontId="0" fillId="0" borderId="3" xfId="0" applyFill="1" applyBorder="1" applyAlignment="1" applyProtection="1">
      <alignment horizontal="left"/>
      <protection locked="0"/>
    </xf>
    <xf numFmtId="0" fontId="0" fillId="0" borderId="4" xfId="0" applyFill="1" applyBorder="1" applyAlignment="1" applyProtection="1">
      <alignment horizontal="left"/>
      <protection locked="0"/>
    </xf>
    <xf numFmtId="0" fontId="0" fillId="0" borderId="22" xfId="0" applyFill="1" applyBorder="1" applyAlignment="1" applyProtection="1">
      <alignment horizontal="left"/>
      <protection locked="0"/>
    </xf>
    <xf numFmtId="0" fontId="7" fillId="0" borderId="23" xfId="0" applyFont="1" applyBorder="1" applyAlignment="1" applyProtection="1">
      <alignment horizontal="right"/>
    </xf>
    <xf numFmtId="0" fontId="0" fillId="0" borderId="21" xfId="0" applyBorder="1" applyAlignment="1" applyProtection="1"/>
    <xf numFmtId="0" fontId="0" fillId="0" borderId="4" xfId="0" applyFill="1" applyBorder="1" applyAlignment="1" applyProtection="1">
      <alignment vertical="top" wrapText="1"/>
    </xf>
    <xf numFmtId="0" fontId="0" fillId="0" borderId="4" xfId="0" applyBorder="1" applyAlignment="1" applyProtection="1">
      <alignment vertical="top"/>
    </xf>
    <xf numFmtId="0" fontId="2" fillId="4" borderId="2" xfId="0" applyFont="1" applyFill="1" applyBorder="1" applyAlignment="1" applyProtection="1">
      <alignment horizontal="left" vertical="center"/>
    </xf>
    <xf numFmtId="0" fontId="2" fillId="4" borderId="21" xfId="0" applyFont="1" applyFill="1" applyBorder="1" applyAlignment="1" applyProtection="1">
      <alignment horizontal="left" vertical="center"/>
    </xf>
    <xf numFmtId="0" fontId="2" fillId="4" borderId="3" xfId="0" applyFont="1" applyFill="1" applyBorder="1" applyAlignment="1" applyProtection="1">
      <alignment horizontal="left" vertical="center"/>
    </xf>
    <xf numFmtId="0" fontId="2" fillId="4" borderId="4" xfId="0" applyFont="1" applyFill="1" applyBorder="1" applyAlignment="1" applyProtection="1">
      <alignment horizontal="left" vertical="center"/>
    </xf>
    <xf numFmtId="0" fontId="2" fillId="4" borderId="22" xfId="0" applyFont="1" applyFill="1" applyBorder="1" applyAlignment="1" applyProtection="1">
      <alignment horizontal="left" vertical="center"/>
    </xf>
    <xf numFmtId="0" fontId="15" fillId="0" borderId="23" xfId="0" applyFont="1" applyFill="1" applyBorder="1" applyAlignment="1" applyProtection="1">
      <alignment horizontal="left" vertical="center"/>
    </xf>
    <xf numFmtId="0" fontId="15" fillId="0" borderId="21" xfId="0" applyFont="1" applyFill="1" applyBorder="1" applyAlignment="1" applyProtection="1">
      <alignment horizontal="left" vertical="center"/>
    </xf>
    <xf numFmtId="0" fontId="6" fillId="0" borderId="31" xfId="0" applyFont="1" applyFill="1" applyBorder="1" applyAlignment="1" applyProtection="1">
      <alignment horizontal="left"/>
      <protection locked="0"/>
    </xf>
    <xf numFmtId="0" fontId="6" fillId="0" borderId="70" xfId="0" applyFont="1" applyFill="1" applyBorder="1" applyAlignment="1" applyProtection="1">
      <alignment horizontal="left" vertical="top" wrapText="1"/>
    </xf>
    <xf numFmtId="0" fontId="0" fillId="0" borderId="70" xfId="0" applyBorder="1" applyAlignment="1"/>
    <xf numFmtId="0" fontId="2" fillId="4" borderId="29" xfId="0" applyFont="1" applyFill="1" applyBorder="1" applyAlignment="1" applyProtection="1">
      <alignment horizontal="left" vertical="center"/>
    </xf>
    <xf numFmtId="0" fontId="2" fillId="4" borderId="20" xfId="0" applyFont="1" applyFill="1" applyBorder="1" applyAlignment="1" applyProtection="1">
      <alignment horizontal="left" vertical="center"/>
    </xf>
    <xf numFmtId="0" fontId="2" fillId="4" borderId="30" xfId="0" applyFont="1" applyFill="1" applyBorder="1" applyAlignment="1" applyProtection="1">
      <alignment horizontal="left" vertical="center"/>
    </xf>
    <xf numFmtId="0" fontId="3" fillId="0" borderId="4" xfId="0" applyFont="1" applyBorder="1" applyAlignment="1" applyProtection="1">
      <alignment horizontal="center" vertical="center"/>
    </xf>
    <xf numFmtId="0" fontId="0" fillId="0" borderId="0" xfId="0" applyAlignment="1" applyProtection="1">
      <alignment horizontal="center"/>
    </xf>
    <xf numFmtId="0" fontId="2" fillId="0" borderId="0" xfId="0" applyFont="1" applyFill="1" applyBorder="1" applyAlignment="1" applyProtection="1"/>
    <xf numFmtId="165" fontId="0" fillId="0" borderId="28" xfId="0" applyNumberFormat="1" applyFill="1" applyBorder="1" applyAlignment="1" applyProtection="1">
      <alignment horizontal="center"/>
    </xf>
    <xf numFmtId="165" fontId="0" fillId="0" borderId="28" xfId="0" applyNumberFormat="1" applyBorder="1" applyAlignment="1" applyProtection="1">
      <alignment horizontal="center"/>
      <protection locked="0"/>
    </xf>
    <xf numFmtId="165" fontId="0" fillId="0" borderId="28" xfId="0" applyNumberFormat="1" applyFill="1" applyBorder="1" applyAlignment="1" applyProtection="1">
      <alignment horizontal="center"/>
      <protection locked="0"/>
    </xf>
    <xf numFmtId="0" fontId="13" fillId="0" borderId="1" xfId="0" applyFont="1" applyBorder="1" applyAlignment="1" applyProtection="1">
      <alignment horizontal="left"/>
      <protection locked="0"/>
    </xf>
    <xf numFmtId="0" fontId="13" fillId="0" borderId="0" xfId="0" applyFont="1" applyAlignment="1" applyProtection="1">
      <protection locked="0"/>
    </xf>
    <xf numFmtId="0" fontId="13" fillId="0" borderId="5" xfId="0" applyFont="1" applyBorder="1" applyAlignment="1" applyProtection="1">
      <protection locked="0"/>
    </xf>
    <xf numFmtId="0" fontId="0" fillId="0" borderId="0" xfId="0" applyBorder="1" applyAlignment="1" applyProtection="1">
      <alignment horizontal="left"/>
      <protection locked="0"/>
    </xf>
    <xf numFmtId="0" fontId="0" fillId="0" borderId="0" xfId="0" applyBorder="1" applyAlignment="1" applyProtection="1">
      <protection locked="0"/>
    </xf>
    <xf numFmtId="165" fontId="0" fillId="0" borderId="1" xfId="0" applyNumberFormat="1" applyBorder="1" applyAlignment="1" applyProtection="1">
      <alignment horizontal="center" vertical="center"/>
      <protection locked="0"/>
    </xf>
    <xf numFmtId="165" fontId="0" fillId="0" borderId="5"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3" fillId="0" borderId="0" xfId="0" applyFont="1" applyBorder="1" applyAlignment="1" applyProtection="1">
      <protection locked="0"/>
    </xf>
    <xf numFmtId="0" fontId="0" fillId="0" borderId="1" xfId="0" applyBorder="1" applyAlignment="1" applyProtection="1">
      <alignment horizontal="left"/>
      <protection locked="0"/>
    </xf>
    <xf numFmtId="0" fontId="0" fillId="0" borderId="5" xfId="0" applyBorder="1" applyAlignment="1" applyProtection="1">
      <protection locked="0"/>
    </xf>
    <xf numFmtId="0" fontId="11" fillId="4" borderId="18" xfId="0" applyFont="1" applyFill="1" applyBorder="1" applyAlignment="1" applyProtection="1">
      <alignment vertical="center"/>
    </xf>
    <xf numFmtId="0" fontId="6" fillId="4" borderId="19" xfId="0" applyFont="1" applyFill="1" applyBorder="1" applyAlignment="1" applyProtection="1">
      <alignment vertical="center"/>
    </xf>
    <xf numFmtId="0" fontId="11" fillId="4" borderId="18" xfId="0" applyFont="1" applyFill="1" applyBorder="1" applyAlignment="1">
      <alignment vertical="center"/>
    </xf>
    <xf numFmtId="0" fontId="6" fillId="4" borderId="19" xfId="0" applyFont="1" applyFill="1" applyBorder="1" applyAlignment="1">
      <alignment vertical="center"/>
    </xf>
    <xf numFmtId="0" fontId="6" fillId="4" borderId="11" xfId="0" applyFont="1" applyFill="1" applyBorder="1" applyAlignment="1">
      <alignment vertical="center"/>
    </xf>
    <xf numFmtId="0" fontId="11" fillId="4" borderId="19" xfId="0" applyFont="1" applyFill="1" applyBorder="1" applyAlignment="1">
      <alignment horizontal="center" vertical="center"/>
    </xf>
    <xf numFmtId="0" fontId="11" fillId="4" borderId="18" xfId="0" applyFont="1" applyFill="1" applyBorder="1" applyAlignment="1">
      <alignment horizontal="center" vertical="center"/>
    </xf>
    <xf numFmtId="0" fontId="11" fillId="4" borderId="11" xfId="0" applyFont="1" applyFill="1" applyBorder="1" applyAlignment="1">
      <alignment horizontal="center" vertical="center"/>
    </xf>
    <xf numFmtId="0" fontId="13" fillId="0" borderId="2" xfId="0" applyFont="1" applyBorder="1" applyAlignment="1" applyProtection="1">
      <alignment horizontal="left"/>
      <protection locked="0"/>
    </xf>
    <xf numFmtId="0" fontId="13" fillId="0" borderId="23" xfId="0" applyFont="1" applyBorder="1" applyAlignment="1" applyProtection="1">
      <alignment horizontal="left"/>
      <protection locked="0"/>
    </xf>
    <xf numFmtId="0" fontId="13" fillId="0" borderId="21" xfId="0" applyFont="1" applyBorder="1" applyAlignment="1" applyProtection="1">
      <protection locked="0"/>
    </xf>
    <xf numFmtId="165" fontId="0" fillId="0" borderId="2" xfId="0" applyNumberFormat="1" applyBorder="1" applyAlignment="1" applyProtection="1">
      <alignment horizontal="center" vertical="center"/>
      <protection locked="0"/>
    </xf>
    <xf numFmtId="165" fontId="0" fillId="0" borderId="21"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13" fillId="0" borderId="2" xfId="0" applyFont="1" applyBorder="1" applyAlignment="1" applyProtection="1">
      <protection locked="0"/>
    </xf>
    <xf numFmtId="0" fontId="13" fillId="0" borderId="23" xfId="0" applyFont="1" applyBorder="1" applyAlignment="1" applyProtection="1">
      <protection locked="0"/>
    </xf>
    <xf numFmtId="0" fontId="0" fillId="0" borderId="23" xfId="0" applyBorder="1" applyAlignment="1" applyProtection="1">
      <alignment horizontal="left"/>
      <protection locked="0"/>
    </xf>
    <xf numFmtId="0" fontId="0" fillId="0" borderId="23" xfId="0" applyBorder="1" applyAlignment="1" applyProtection="1">
      <protection locked="0"/>
    </xf>
    <xf numFmtId="0" fontId="13" fillId="0" borderId="3" xfId="0" applyFont="1" applyBorder="1" applyAlignment="1" applyProtection="1">
      <alignment horizontal="left"/>
      <protection locked="0"/>
    </xf>
    <xf numFmtId="0" fontId="13" fillId="0" borderId="4" xfId="0" applyFont="1" applyBorder="1" applyAlignment="1" applyProtection="1">
      <alignment horizontal="left"/>
      <protection locked="0"/>
    </xf>
    <xf numFmtId="0" fontId="13" fillId="0" borderId="4" xfId="0" applyFont="1" applyBorder="1" applyAlignment="1" applyProtection="1">
      <protection locked="0"/>
    </xf>
    <xf numFmtId="0" fontId="13" fillId="0" borderId="22" xfId="0" applyFont="1" applyBorder="1" applyAlignment="1" applyProtection="1">
      <protection locked="0"/>
    </xf>
    <xf numFmtId="0" fontId="0" fillId="0" borderId="4" xfId="0" applyBorder="1" applyAlignment="1" applyProtection="1">
      <alignment horizontal="left"/>
      <protection locked="0"/>
    </xf>
    <xf numFmtId="0" fontId="0" fillId="0" borderId="4" xfId="0" applyBorder="1" applyAlignment="1" applyProtection="1">
      <protection locked="0"/>
    </xf>
    <xf numFmtId="165" fontId="0" fillId="0" borderId="3" xfId="0" applyNumberFormat="1" applyBorder="1" applyAlignment="1" applyProtection="1">
      <alignment horizontal="center" vertical="center"/>
      <protection locked="0"/>
    </xf>
    <xf numFmtId="165" fontId="0" fillId="0" borderId="22" xfId="0" applyNumberFormat="1"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13" fillId="0" borderId="3" xfId="0" applyFont="1" applyBorder="1" applyAlignment="1" applyProtection="1">
      <protection locked="0"/>
    </xf>
    <xf numFmtId="0" fontId="2" fillId="0" borderId="23" xfId="0" applyFont="1" applyFill="1" applyBorder="1" applyAlignment="1" applyProtection="1">
      <alignment horizontal="right"/>
    </xf>
    <xf numFmtId="0" fontId="0" fillId="0" borderId="23" xfId="0" applyFill="1" applyBorder="1" applyAlignment="1" applyProtection="1">
      <alignment horizontal="right"/>
    </xf>
    <xf numFmtId="0" fontId="0" fillId="0" borderId="21" xfId="0" applyFill="1" applyBorder="1" applyAlignment="1" applyProtection="1">
      <alignment horizontal="right"/>
    </xf>
    <xf numFmtId="0" fontId="10" fillId="0" borderId="4" xfId="0" applyFont="1" applyBorder="1" applyAlignment="1" applyProtection="1">
      <alignment vertical="center"/>
    </xf>
    <xf numFmtId="0" fontId="11" fillId="4" borderId="18" xfId="0" applyFont="1" applyFill="1" applyBorder="1" applyAlignment="1" applyProtection="1">
      <alignment horizontal="left" vertical="center"/>
    </xf>
    <xf numFmtId="0" fontId="11" fillId="4" borderId="19" xfId="0" applyFont="1" applyFill="1" applyBorder="1" applyAlignment="1" applyProtection="1">
      <alignment horizontal="left" vertical="center"/>
    </xf>
    <xf numFmtId="0" fontId="11" fillId="4" borderId="11" xfId="0" applyFont="1" applyFill="1" applyBorder="1" applyAlignment="1" applyProtection="1">
      <alignment horizontal="left" vertical="center"/>
    </xf>
    <xf numFmtId="0" fontId="11" fillId="4" borderId="19" xfId="0" applyFont="1" applyFill="1" applyBorder="1" applyAlignment="1">
      <alignment vertical="center"/>
    </xf>
    <xf numFmtId="0" fontId="6" fillId="4" borderId="11" xfId="0" applyFont="1" applyFill="1" applyBorder="1" applyAlignment="1">
      <alignment horizontal="center" vertical="center"/>
    </xf>
    <xf numFmtId="0" fontId="13" fillId="0" borderId="0" xfId="0" applyFont="1" applyBorder="1" applyAlignment="1" applyProtection="1">
      <alignment horizontal="left"/>
      <protection locked="0"/>
    </xf>
    <xf numFmtId="0" fontId="13" fillId="0" borderId="1" xfId="0" applyFont="1" applyBorder="1" applyAlignment="1" applyProtection="1">
      <protection locked="0"/>
    </xf>
    <xf numFmtId="0" fontId="0" fillId="0" borderId="0" xfId="0" applyBorder="1" applyAlignment="1" applyProtection="1">
      <alignment horizontal="center"/>
      <protection locked="0"/>
    </xf>
    <xf numFmtId="0" fontId="13" fillId="0" borderId="13" xfId="0" applyFont="1" applyBorder="1" applyAlignment="1" applyProtection="1">
      <alignment horizontal="left"/>
      <protection locked="0"/>
    </xf>
    <xf numFmtId="0" fontId="13" fillId="0" borderId="28" xfId="0" applyFont="1" applyBorder="1" applyAlignment="1" applyProtection="1">
      <protection locked="0"/>
    </xf>
    <xf numFmtId="0" fontId="13" fillId="0" borderId="15" xfId="0" applyFont="1" applyBorder="1" applyAlignment="1" applyProtection="1">
      <protection locked="0"/>
    </xf>
    <xf numFmtId="0" fontId="0" fillId="0" borderId="13" xfId="0" applyBorder="1" applyAlignment="1" applyProtection="1">
      <alignment horizontal="left"/>
      <protection locked="0"/>
    </xf>
    <xf numFmtId="0" fontId="0" fillId="0" borderId="28" xfId="0" applyBorder="1" applyAlignment="1" applyProtection="1">
      <protection locked="0"/>
    </xf>
    <xf numFmtId="0" fontId="0" fillId="0" borderId="15" xfId="0" applyBorder="1" applyAlignment="1" applyProtection="1">
      <protection locked="0"/>
    </xf>
    <xf numFmtId="165" fontId="0" fillId="0" borderId="13" xfId="0" applyNumberFormat="1" applyBorder="1" applyAlignment="1" applyProtection="1">
      <alignment horizontal="center" vertical="center"/>
      <protection locked="0"/>
    </xf>
    <xf numFmtId="165" fontId="0" fillId="0" borderId="15" xfId="0" applyNumberFormat="1"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13" fillId="0" borderId="13" xfId="0" applyFont="1" applyBorder="1" applyAlignment="1" applyProtection="1">
      <protection locked="0"/>
    </xf>
    <xf numFmtId="0" fontId="0" fillId="0" borderId="13" xfId="0" applyBorder="1" applyAlignment="1" applyProtection="1">
      <protection locked="0"/>
    </xf>
    <xf numFmtId="165" fontId="0" fillId="0" borderId="13" xfId="0" applyNumberFormat="1" applyBorder="1" applyAlignment="1" applyProtection="1">
      <alignment vertical="center"/>
      <protection locked="0"/>
    </xf>
    <xf numFmtId="165" fontId="0" fillId="0" borderId="15" xfId="0" applyNumberFormat="1" applyBorder="1" applyAlignment="1" applyProtection="1">
      <alignment vertical="center"/>
      <protection locked="0"/>
    </xf>
    <xf numFmtId="0" fontId="0" fillId="0" borderId="13" xfId="0" applyBorder="1" applyAlignment="1" applyProtection="1">
      <alignment vertical="center"/>
      <protection locked="0"/>
    </xf>
    <xf numFmtId="0" fontId="0" fillId="0" borderId="15" xfId="0" applyBorder="1" applyAlignment="1" applyProtection="1">
      <alignment vertical="center"/>
      <protection locked="0"/>
    </xf>
    <xf numFmtId="165" fontId="0" fillId="0" borderId="1" xfId="0" applyNumberFormat="1" applyBorder="1" applyAlignment="1" applyProtection="1">
      <alignment vertical="center"/>
      <protection locked="0"/>
    </xf>
    <xf numFmtId="165" fontId="0" fillId="0" borderId="5" xfId="0" applyNumberFormat="1" applyBorder="1" applyAlignment="1" applyProtection="1">
      <alignment vertical="center"/>
      <protection locked="0"/>
    </xf>
    <xf numFmtId="0" fontId="0" fillId="0" borderId="1" xfId="0" applyBorder="1" applyAlignment="1" applyProtection="1">
      <alignment vertical="center"/>
      <protection locked="0"/>
    </xf>
    <xf numFmtId="0" fontId="0" fillId="0" borderId="5" xfId="0" applyBorder="1" applyAlignment="1" applyProtection="1">
      <alignment vertical="center"/>
      <protection locked="0"/>
    </xf>
    <xf numFmtId="0" fontId="2" fillId="0" borderId="0" xfId="0" applyFont="1" applyFill="1" applyBorder="1" applyAlignment="1" applyProtection="1">
      <alignment horizontal="right"/>
    </xf>
    <xf numFmtId="0" fontId="0" fillId="0" borderId="0" xfId="0" applyFill="1" applyBorder="1" applyAlignment="1" applyProtection="1">
      <alignment horizontal="right"/>
    </xf>
    <xf numFmtId="0" fontId="0" fillId="0" borderId="5" xfId="0" applyFill="1" applyBorder="1" applyAlignment="1" applyProtection="1">
      <alignment horizontal="right"/>
    </xf>
    <xf numFmtId="0" fontId="0" fillId="0" borderId="3" xfId="0" applyBorder="1" applyAlignment="1" applyProtection="1">
      <alignment horizontal="left"/>
      <protection locked="0"/>
    </xf>
    <xf numFmtId="0" fontId="0" fillId="0" borderId="22" xfId="0" applyBorder="1" applyAlignment="1" applyProtection="1">
      <protection locked="0"/>
    </xf>
    <xf numFmtId="22" fontId="4" fillId="0" borderId="60" xfId="0" applyNumberFormat="1" applyFont="1" applyFill="1" applyBorder="1" applyAlignment="1" applyProtection="1">
      <alignment horizontal="left"/>
    </xf>
    <xf numFmtId="0" fontId="0" fillId="0" borderId="60" xfId="0" applyBorder="1" applyAlignment="1" applyProtection="1"/>
    <xf numFmtId="0" fontId="17" fillId="0" borderId="59" xfId="0" applyFont="1" applyFill="1" applyBorder="1" applyAlignment="1" applyProtection="1">
      <alignment horizontal="center" vertical="center"/>
    </xf>
    <xf numFmtId="0" fontId="1" fillId="0" borderId="0" xfId="0" applyFont="1" applyFill="1" applyBorder="1" applyAlignment="1" applyProtection="1">
      <alignment horizontal="center"/>
    </xf>
    <xf numFmtId="0" fontId="0" fillId="0" borderId="1" xfId="0" applyFill="1" applyBorder="1" applyAlignment="1" applyProtection="1">
      <alignment horizontal="center"/>
    </xf>
    <xf numFmtId="0" fontId="0" fillId="0" borderId="0" xfId="0" applyFill="1" applyBorder="1" applyAlignment="1" applyProtection="1">
      <alignment horizontal="center"/>
    </xf>
    <xf numFmtId="0" fontId="0" fillId="0" borderId="5" xfId="0" applyFill="1" applyBorder="1" applyAlignment="1" applyProtection="1">
      <alignment horizontal="center"/>
    </xf>
    <xf numFmtId="0" fontId="0" fillId="0" borderId="2" xfId="0" applyFill="1" applyBorder="1" applyAlignment="1" applyProtection="1">
      <alignment horizontal="center"/>
    </xf>
    <xf numFmtId="0" fontId="0" fillId="0" borderId="3" xfId="0" applyFill="1" applyBorder="1" applyAlignment="1" applyProtection="1">
      <alignment horizontal="center"/>
    </xf>
    <xf numFmtId="0" fontId="0" fillId="0" borderId="4" xfId="0" applyFill="1" applyBorder="1" applyAlignment="1" applyProtection="1">
      <alignment horizontal="center"/>
    </xf>
    <xf numFmtId="0" fontId="0" fillId="0" borderId="22" xfId="0" applyFill="1" applyBorder="1" applyAlignment="1" applyProtection="1">
      <alignment horizontal="center"/>
    </xf>
    <xf numFmtId="0" fontId="0" fillId="0" borderId="23" xfId="0" applyBorder="1" applyAlignment="1" applyProtection="1">
      <alignment horizontal="center"/>
    </xf>
    <xf numFmtId="0" fontId="0" fillId="0" borderId="21" xfId="0" applyBorder="1" applyAlignment="1" applyProtection="1">
      <alignment horizontal="center"/>
    </xf>
    <xf numFmtId="10" fontId="0" fillId="0" borderId="28" xfId="0" applyNumberFormat="1" applyFill="1" applyBorder="1" applyAlignment="1" applyProtection="1">
      <alignment horizontal="center"/>
    </xf>
    <xf numFmtId="0" fontId="11" fillId="4" borderId="2" xfId="0" applyFont="1" applyFill="1" applyBorder="1" applyAlignment="1" applyProtection="1">
      <alignment horizontal="center" vertical="center"/>
    </xf>
    <xf numFmtId="0" fontId="11" fillId="4" borderId="23" xfId="0" applyFont="1" applyFill="1" applyBorder="1" applyAlignment="1" applyProtection="1">
      <alignment horizontal="center" vertical="center"/>
    </xf>
    <xf numFmtId="0" fontId="11" fillId="4" borderId="21" xfId="0" applyFont="1" applyFill="1" applyBorder="1" applyAlignment="1" applyProtection="1">
      <alignment horizontal="center" vertical="center"/>
    </xf>
    <xf numFmtId="0" fontId="11" fillId="4" borderId="3" xfId="0" applyFont="1" applyFill="1" applyBorder="1" applyAlignment="1" applyProtection="1">
      <alignment horizontal="center" vertical="center"/>
    </xf>
    <xf numFmtId="0" fontId="11" fillId="4" borderId="4" xfId="0" applyFont="1" applyFill="1" applyBorder="1" applyAlignment="1" applyProtection="1">
      <alignment horizontal="center" vertical="center"/>
    </xf>
    <xf numFmtId="0" fontId="11" fillId="4" borderId="22" xfId="0" applyFont="1" applyFill="1" applyBorder="1" applyAlignment="1" applyProtection="1">
      <alignment horizontal="center" vertical="center"/>
    </xf>
    <xf numFmtId="0" fontId="3" fillId="7" borderId="80" xfId="1" applyFont="1" applyFill="1" applyBorder="1" applyAlignment="1">
      <alignment horizontal="center" vertical="center" wrapText="1"/>
    </xf>
    <xf numFmtId="0" fontId="3" fillId="7" borderId="6" xfId="1" applyFont="1" applyFill="1" applyBorder="1" applyAlignment="1">
      <alignment vertical="center"/>
    </xf>
    <xf numFmtId="0" fontId="3" fillId="7" borderId="81" xfId="1" applyFont="1" applyFill="1" applyBorder="1" applyAlignment="1">
      <alignment horizontal="center" vertical="center" wrapText="1"/>
    </xf>
    <xf numFmtId="0" fontId="3" fillId="7" borderId="62" xfId="1" applyFont="1" applyFill="1" applyBorder="1" applyAlignment="1">
      <alignment vertical="center"/>
    </xf>
    <xf numFmtId="0" fontId="3" fillId="7" borderId="63" xfId="1" applyFont="1" applyFill="1" applyBorder="1" applyAlignment="1">
      <alignment vertical="center"/>
    </xf>
    <xf numFmtId="0" fontId="9" fillId="7" borderId="19" xfId="1" applyFont="1" applyFill="1" applyBorder="1" applyAlignment="1">
      <alignment vertical="center"/>
    </xf>
    <xf numFmtId="0" fontId="9" fillId="7" borderId="68" xfId="1" applyFont="1" applyFill="1" applyBorder="1" applyAlignment="1">
      <alignment vertical="center"/>
    </xf>
    <xf numFmtId="0" fontId="19" fillId="7" borderId="69" xfId="1" applyFont="1" applyFill="1" applyBorder="1" applyAlignment="1">
      <alignment vertical="center" wrapText="1"/>
    </xf>
    <xf numFmtId="0" fontId="19" fillId="7" borderId="71" xfId="1" applyFont="1" applyFill="1" applyBorder="1" applyAlignment="1">
      <alignment vertical="center" wrapText="1"/>
    </xf>
    <xf numFmtId="0" fontId="19" fillId="7" borderId="82" xfId="1" applyFont="1" applyFill="1" applyBorder="1" applyAlignment="1">
      <alignment vertical="center" wrapText="1"/>
    </xf>
    <xf numFmtId="0" fontId="19" fillId="7" borderId="22" xfId="1" applyFont="1" applyFill="1" applyBorder="1" applyAlignment="1">
      <alignment vertical="center" wrapText="1"/>
    </xf>
    <xf numFmtId="0" fontId="9" fillId="0" borderId="26" xfId="1" applyFont="1" applyFill="1" applyBorder="1" applyAlignment="1">
      <alignment horizontal="center" vertical="center" wrapText="1"/>
    </xf>
    <xf numFmtId="0" fontId="9" fillId="0" borderId="24" xfId="1" applyFont="1" applyFill="1" applyBorder="1" applyAlignment="1">
      <alignment horizontal="center" vertical="center" wrapText="1"/>
    </xf>
    <xf numFmtId="0" fontId="3" fillId="7" borderId="63" xfId="1" applyFont="1" applyFill="1" applyBorder="1" applyAlignment="1">
      <alignment horizontal="left" vertical="center"/>
    </xf>
    <xf numFmtId="0" fontId="3" fillId="0" borderId="69" xfId="1" applyFont="1" applyBorder="1" applyAlignment="1">
      <alignment horizontal="left" vertical="center" wrapText="1"/>
    </xf>
    <xf numFmtId="0" fontId="3" fillId="0" borderId="70" xfId="1" applyFont="1" applyBorder="1" applyAlignment="1">
      <alignment horizontal="left" vertical="center"/>
    </xf>
    <xf numFmtId="0" fontId="3" fillId="0" borderId="71" xfId="1" applyFont="1" applyBorder="1" applyAlignment="1">
      <alignment horizontal="left" vertical="center"/>
    </xf>
    <xf numFmtId="0" fontId="3" fillId="0" borderId="72" xfId="1" applyFont="1" applyBorder="1" applyAlignment="1">
      <alignment horizontal="left" vertical="center"/>
    </xf>
    <xf numFmtId="0" fontId="3" fillId="0" borderId="0" xfId="1" applyFont="1" applyBorder="1" applyAlignment="1">
      <alignment horizontal="left" vertical="center"/>
    </xf>
    <xf numFmtId="0" fontId="3" fillId="0" borderId="5" xfId="1" applyFont="1" applyBorder="1" applyAlignment="1">
      <alignment horizontal="left" vertical="center"/>
    </xf>
    <xf numFmtId="0" fontId="3" fillId="0" borderId="73" xfId="1" applyFont="1" applyBorder="1" applyAlignment="1">
      <alignment horizontal="left" vertical="center"/>
    </xf>
    <xf numFmtId="0" fontId="3" fillId="0" borderId="74" xfId="1" applyFont="1" applyBorder="1" applyAlignment="1">
      <alignment horizontal="left" vertical="center"/>
    </xf>
    <xf numFmtId="0" fontId="3" fillId="0" borderId="75" xfId="1" applyFont="1" applyBorder="1" applyAlignment="1">
      <alignment horizontal="left" vertical="center"/>
    </xf>
    <xf numFmtId="0" fontId="9" fillId="0" borderId="76" xfId="1" applyFont="1" applyFill="1" applyBorder="1" applyAlignment="1">
      <alignment vertical="center" wrapText="1"/>
    </xf>
    <xf numFmtId="0" fontId="9" fillId="0" borderId="66" xfId="1" applyFont="1" applyFill="1" applyBorder="1" applyAlignment="1">
      <alignment vertical="center" wrapText="1"/>
    </xf>
    <xf numFmtId="0" fontId="9" fillId="0" borderId="77" xfId="1" applyFont="1" applyFill="1" applyBorder="1" applyAlignment="1">
      <alignment vertical="center" wrapText="1"/>
    </xf>
    <xf numFmtId="0" fontId="3" fillId="0" borderId="78" xfId="1" applyFont="1" applyBorder="1" applyAlignment="1">
      <alignment horizontal="center" vertical="center"/>
    </xf>
    <xf numFmtId="0" fontId="3" fillId="0" borderId="24" xfId="1" applyFont="1" applyBorder="1" applyAlignment="1">
      <alignment horizontal="center" vertical="center"/>
    </xf>
    <xf numFmtId="0" fontId="3" fillId="0" borderId="79" xfId="1" applyFont="1" applyBorder="1" applyAlignment="1">
      <alignment horizontal="center" vertical="center"/>
    </xf>
    <xf numFmtId="0" fontId="9" fillId="0" borderId="64" xfId="1" applyFont="1" applyBorder="1" applyAlignment="1">
      <alignment horizontal="center" vertical="center"/>
    </xf>
    <xf numFmtId="0" fontId="9" fillId="0" borderId="65" xfId="1" applyFont="1" applyBorder="1" applyAlignment="1">
      <alignment horizontal="center" vertical="center"/>
    </xf>
    <xf numFmtId="0" fontId="9" fillId="0" borderId="26" xfId="1" applyFont="1" applyFill="1" applyBorder="1" applyAlignment="1">
      <alignment vertical="center" wrapText="1"/>
    </xf>
    <xf numFmtId="0" fontId="9" fillId="0" borderId="24" xfId="1" applyFont="1" applyFill="1" applyBorder="1" applyAlignment="1">
      <alignment vertical="center" wrapText="1"/>
    </xf>
    <xf numFmtId="0" fontId="9" fillId="5" borderId="26" xfId="1" applyFont="1" applyFill="1" applyBorder="1" applyAlignment="1">
      <alignment horizontal="center" vertical="center" wrapText="1"/>
    </xf>
    <xf numFmtId="0" fontId="9" fillId="5" borderId="24" xfId="1" applyFont="1" applyFill="1" applyBorder="1" applyAlignment="1">
      <alignment horizontal="center" vertical="center" wrapText="1"/>
    </xf>
    <xf numFmtId="0" fontId="9" fillId="0" borderId="67" xfId="1" applyFont="1" applyFill="1" applyBorder="1" applyAlignment="1">
      <alignment vertical="center" wrapText="1"/>
    </xf>
    <xf numFmtId="0" fontId="9" fillId="0" borderId="26" xfId="1" applyFont="1" applyFill="1" applyBorder="1" applyAlignment="1">
      <alignment horizontal="center" vertical="center"/>
    </xf>
    <xf numFmtId="0" fontId="9" fillId="0" borderId="24" xfId="1" applyFont="1" applyFill="1" applyBorder="1" applyAlignment="1">
      <alignment horizontal="center" vertical="center"/>
    </xf>
  </cellXfs>
  <cellStyles count="2">
    <cellStyle name="Normal" xfId="0" builtinId="0"/>
    <cellStyle name="Normal_Design-Construct Opportunity Scorecard" xfId="1"/>
  </cellStyles>
  <dxfs count="1">
    <dxf>
      <font>
        <condense val="0"/>
        <extend val="0"/>
        <color auto="1"/>
      </font>
    </dxf>
  </dxfs>
  <tableStyles count="0" defaultTableStyle="TableStyleMedium9" defaultPivotStyle="PivotStyleLight16"/>
  <colors>
    <mruColors>
      <color rgb="FF909090"/>
      <color rgb="FF8C8C8C"/>
      <color rgb="FFA51681"/>
      <color rgb="FF8CC63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Attractiveness Score</a:t>
            </a:r>
          </a:p>
        </c:rich>
      </c:tx>
      <c:layout>
        <c:manualLayout>
          <c:xMode val="edge"/>
          <c:yMode val="edge"/>
          <c:x val="0.37789175355574411"/>
          <c:y val="8.9820310922673618E-2"/>
        </c:manualLayout>
      </c:layout>
      <c:spPr>
        <a:noFill/>
        <a:ln w="25400">
          <a:noFill/>
        </a:ln>
      </c:spPr>
    </c:title>
    <c:plotArea>
      <c:layout>
        <c:manualLayout>
          <c:layoutTarget val="inner"/>
          <c:xMode val="edge"/>
          <c:yMode val="edge"/>
          <c:x val="0.2107969151670962"/>
          <c:y val="0.21556917742032253"/>
          <c:w val="0.70951156812339333"/>
          <c:h val="0.65269556496708714"/>
        </c:manualLayout>
      </c:layout>
      <c:scatterChart>
        <c:scatterStyle val="lineMarker"/>
        <c:ser>
          <c:idx val="0"/>
          <c:order val="0"/>
          <c:spPr>
            <a:ln w="28575">
              <a:noFill/>
            </a:ln>
          </c:spPr>
          <c:marker>
            <c:symbol val="diamond"/>
            <c:size val="10"/>
            <c:spPr>
              <a:solidFill>
                <a:srgbClr val="002060"/>
              </a:solidFill>
            </c:spPr>
          </c:marker>
          <c:xVal>
            <c:numRef>
              <c:f>'Scorecard Chart'!$U$31</c:f>
              <c:numCache>
                <c:formatCode>General</c:formatCode>
                <c:ptCount val="1"/>
                <c:pt idx="0">
                  <c:v>0</c:v>
                </c:pt>
              </c:numCache>
            </c:numRef>
          </c:xVal>
          <c:yVal>
            <c:numRef>
              <c:f>'Scorecard Chart'!$U$22</c:f>
              <c:numCache>
                <c:formatCode>General</c:formatCode>
                <c:ptCount val="1"/>
                <c:pt idx="0">
                  <c:v>0</c:v>
                </c:pt>
              </c:numCache>
            </c:numRef>
          </c:yVal>
        </c:ser>
        <c:dLbls/>
        <c:axId val="86414848"/>
        <c:axId val="86416384"/>
      </c:scatterChart>
      <c:valAx>
        <c:axId val="86414848"/>
        <c:scaling>
          <c:orientation val="minMax"/>
          <c:max val="25"/>
          <c:min val="0"/>
        </c:scaling>
        <c:axPos val="b"/>
        <c:numFmt formatCode="#,##0" sourceLinked="0"/>
        <c:tickLblPos val="nextTo"/>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en-US"/>
          </a:p>
        </c:txPr>
        <c:crossAx val="86416384"/>
        <c:crosses val="autoZero"/>
        <c:crossBetween val="midCat"/>
        <c:minorUnit val="8.33"/>
      </c:valAx>
      <c:valAx>
        <c:axId val="86416384"/>
        <c:scaling>
          <c:orientation val="minMax"/>
          <c:max val="75"/>
          <c:min val="0"/>
        </c:scaling>
        <c:axPos val="l"/>
        <c:majorGridlines>
          <c:spPr>
            <a:ln w="3175">
              <a:solidFill>
                <a:srgbClr val="000000"/>
              </a:solidFill>
              <a:prstDash val="solid"/>
            </a:ln>
          </c:spPr>
        </c:majorGridlines>
        <c:title>
          <c:tx>
            <c:rich>
              <a:bodyPr/>
              <a:lstStyle/>
              <a:p>
                <a:pPr>
                  <a:defRPr/>
                </a:pPr>
                <a:r>
                  <a:rPr lang="en-US"/>
                  <a:t>Strength Score</a:t>
                </a:r>
              </a:p>
            </c:rich>
          </c:tx>
          <c:layout>
            <c:manualLayout>
              <c:xMode val="edge"/>
              <c:yMode val="edge"/>
              <c:x val="6.6837892146274738E-2"/>
              <c:y val="0.40718621710747843"/>
            </c:manualLayout>
          </c:layout>
          <c:spPr>
            <a:noFill/>
            <a:ln w="25400">
              <a:noFill/>
            </a:ln>
          </c:spPr>
        </c:title>
        <c:numFmt formatCode="General" sourceLinked="1"/>
        <c:tickLblPos val="nextTo"/>
        <c:spPr>
          <a:ln w="3175">
            <a:solidFill>
              <a:srgbClr val="000000"/>
            </a:solidFill>
            <a:prstDash val="solid"/>
          </a:ln>
        </c:spPr>
        <c:txPr>
          <a:bodyPr rot="0" vert="horz"/>
          <a:lstStyle/>
          <a:p>
            <a:pPr>
              <a:defRPr/>
            </a:pPr>
            <a:endParaRPr lang="en-US"/>
          </a:p>
        </c:txPr>
        <c:crossAx val="86414848"/>
        <c:crosses val="autoZero"/>
        <c:crossBetween val="midCat"/>
        <c:majorUnit val="25"/>
        <c:minorUnit val="2"/>
      </c:valAx>
      <c:spPr>
        <a:noFill/>
        <a:ln w="12700">
          <a:solidFill>
            <a:srgbClr val="808080"/>
          </a:solidFill>
          <a:prstDash val="solid"/>
        </a:ln>
      </c:spPr>
    </c:plotArea>
    <c:plotVisOnly val="1"/>
    <c:dispBlanksAs val="gap"/>
  </c:chart>
  <c:spPr>
    <a:solidFill>
      <a:srgbClr val="FFFFFF"/>
    </a:solidFill>
    <a:ln w="9525">
      <a:noFill/>
    </a:ln>
  </c:spPr>
  <c:txPr>
    <a:bodyPr/>
    <a:lstStyle/>
    <a:p>
      <a:pPr>
        <a:defRPr sz="875" b="1" i="0" u="none" strike="noStrike" baseline="0">
          <a:solidFill>
            <a:srgbClr val="000000"/>
          </a:solidFill>
          <a:latin typeface="Arial"/>
          <a:ea typeface="Arial"/>
          <a:cs typeface="Arial"/>
        </a:defRPr>
      </a:pPr>
      <a:endParaRPr lang="en-US"/>
    </a:p>
  </c:txPr>
  <c:printSettings>
    <c:headerFooter alignWithMargins="0"/>
    <c:pageMargins b="1" l="0.750000000000002" r="0.750000000000002" t="1" header="0.5" footer="0.5"/>
    <c:pageSetup orientation="landscape"/>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jpe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238125</xdr:colOff>
      <xdr:row>1</xdr:row>
      <xdr:rowOff>0</xdr:rowOff>
    </xdr:from>
    <xdr:to>
      <xdr:col>6</xdr:col>
      <xdr:colOff>238125</xdr:colOff>
      <xdr:row>1</xdr:row>
      <xdr:rowOff>742950</xdr:rowOff>
    </xdr:to>
    <xdr:pic>
      <xdr:nvPicPr>
        <xdr:cNvPr id="41" name="Picture 10" descr="gon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238125" y="0"/>
          <a:ext cx="2143125" cy="7429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19</xdr:col>
      <xdr:colOff>247649</xdr:colOff>
      <xdr:row>1</xdr:row>
      <xdr:rowOff>66675</xdr:rowOff>
    </xdr:from>
    <xdr:to>
      <xdr:col>20</xdr:col>
      <xdr:colOff>517524</xdr:colOff>
      <xdr:row>1</xdr:row>
      <xdr:rowOff>272361</xdr:rowOff>
    </xdr:to>
    <xdr:pic>
      <xdr:nvPicPr>
        <xdr:cNvPr id="4" name="Picture 3" descr="AECOM_color_rgb.jpg"/>
        <xdr:cNvPicPr>
          <a:picLocks noChangeAspect="1"/>
        </xdr:cNvPicPr>
      </xdr:nvPicPr>
      <xdr:blipFill>
        <a:blip xmlns:r="http://schemas.openxmlformats.org/officeDocument/2006/relationships" r:embed="rId2" cstate="print"/>
        <a:stretch>
          <a:fillRect/>
        </a:stretch>
      </xdr:blipFill>
      <xdr:spPr>
        <a:xfrm>
          <a:off x="8896349" y="66675"/>
          <a:ext cx="898525" cy="2056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257175</xdr:colOff>
      <xdr:row>33</xdr:row>
      <xdr:rowOff>19050</xdr:rowOff>
    </xdr:from>
    <xdr:to>
      <xdr:col>14</xdr:col>
      <xdr:colOff>228600</xdr:colOff>
      <xdr:row>33</xdr:row>
      <xdr:rowOff>2905125</xdr:rowOff>
    </xdr:to>
    <xdr:graphicFrame macro="">
      <xdr:nvGraphicFramePr>
        <xdr:cNvPr id="7" name="Chart 2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0</xdr:row>
      <xdr:rowOff>142875</xdr:rowOff>
    </xdr:from>
    <xdr:to>
      <xdr:col>21</xdr:col>
      <xdr:colOff>0</xdr:colOff>
      <xdr:row>1</xdr:row>
      <xdr:rowOff>0</xdr:rowOff>
    </xdr:to>
    <xdr:sp macro="" textlink="">
      <xdr:nvSpPr>
        <xdr:cNvPr id="42" name="Rectangle 498"/>
        <xdr:cNvSpPr>
          <a:spLocks noChangeArrowheads="1"/>
        </xdr:cNvSpPr>
      </xdr:nvSpPr>
      <xdr:spPr bwMode="auto">
        <a:xfrm>
          <a:off x="0" y="142875"/>
          <a:ext cx="9896475" cy="6381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editAs="oneCell">
    <xdr:from>
      <xdr:col>1</xdr:col>
      <xdr:colOff>95250</xdr:colOff>
      <xdr:row>0</xdr:row>
      <xdr:rowOff>0</xdr:rowOff>
    </xdr:from>
    <xdr:to>
      <xdr:col>7</xdr:col>
      <xdr:colOff>95250</xdr:colOff>
      <xdr:row>0</xdr:row>
      <xdr:rowOff>742950</xdr:rowOff>
    </xdr:to>
    <xdr:pic>
      <xdr:nvPicPr>
        <xdr:cNvPr id="46" name="Picture 10" descr="gonogo.jp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rcRect/>
        <a:stretch>
          <a:fillRect/>
        </a:stretch>
      </xdr:blipFill>
      <xdr:spPr bwMode="auto">
        <a:xfrm>
          <a:off x="342900" y="0"/>
          <a:ext cx="2143125" cy="7429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19</xdr:col>
      <xdr:colOff>238125</xdr:colOff>
      <xdr:row>0</xdr:row>
      <xdr:rowOff>47625</xdr:rowOff>
    </xdr:from>
    <xdr:to>
      <xdr:col>20</xdr:col>
      <xdr:colOff>508000</xdr:colOff>
      <xdr:row>0</xdr:row>
      <xdr:rowOff>253311</xdr:rowOff>
    </xdr:to>
    <xdr:pic>
      <xdr:nvPicPr>
        <xdr:cNvPr id="5" name="Picture 4" descr="AECOM_color_rgb.jpg"/>
        <xdr:cNvPicPr>
          <a:picLocks noChangeAspect="1"/>
        </xdr:cNvPicPr>
      </xdr:nvPicPr>
      <xdr:blipFill>
        <a:blip xmlns:r="http://schemas.openxmlformats.org/officeDocument/2006/relationships" r:embed="rId3" cstate="print"/>
        <a:stretch>
          <a:fillRect/>
        </a:stretch>
      </xdr:blipFill>
      <xdr:spPr>
        <a:xfrm>
          <a:off x="8886825" y="47625"/>
          <a:ext cx="898525" cy="205686"/>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0.21037</cdr:x>
      <cdr:y>0.64843</cdr:y>
    </cdr:from>
    <cdr:to>
      <cdr:x>0.44738</cdr:x>
      <cdr:y>0.86453</cdr:y>
    </cdr:to>
    <cdr:sp macro="" textlink="">
      <cdr:nvSpPr>
        <cdr:cNvPr id="2076" name="Rectangle 28"/>
        <cdr:cNvSpPr>
          <a:spLocks xmlns:a="http://schemas.openxmlformats.org/drawingml/2006/main" noChangeArrowheads="1"/>
        </cdr:cNvSpPr>
      </cdr:nvSpPr>
      <cdr:spPr bwMode="auto">
        <a:xfrm xmlns:a="http://schemas.openxmlformats.org/drawingml/2006/main">
          <a:off x="784654" y="2072243"/>
          <a:ext cx="880443" cy="689551"/>
        </a:xfrm>
        <a:prstGeom xmlns:a="http://schemas.openxmlformats.org/drawingml/2006/main" prst="rect">
          <a:avLst/>
        </a:prstGeom>
        <a:solidFill xmlns:a="http://schemas.openxmlformats.org/drawingml/2006/main">
          <a:srgbClr val="A51681">
            <a:alpha val="50000"/>
          </a:srgbClr>
        </a:solidFill>
        <a:ln xmlns:a="http://schemas.openxmlformats.org/drawingml/2006/main" w="9525">
          <a:solidFill>
            <a:sysClr val="windowText" lastClr="000000"/>
          </a:solid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pPr algn="ctr"/>
          <a:endParaRPr lang="en-US"/>
        </a:p>
        <a:p xmlns:a="http://schemas.openxmlformats.org/drawingml/2006/main">
          <a:pPr algn="ctr"/>
          <a:r>
            <a:rPr lang="en-US" b="1">
              <a:solidFill>
                <a:schemeClr val="bg1"/>
              </a:solidFill>
            </a:rPr>
            <a:t>NO GO</a:t>
          </a:r>
        </a:p>
      </cdr:txBody>
    </cdr:sp>
  </cdr:relSizeAnchor>
  <cdr:relSizeAnchor xmlns:cdr="http://schemas.openxmlformats.org/drawingml/2006/chartDrawing">
    <cdr:from>
      <cdr:x>0.44738</cdr:x>
      <cdr:y>0.64843</cdr:y>
    </cdr:from>
    <cdr:to>
      <cdr:x>0.68367</cdr:x>
      <cdr:y>0.86453</cdr:y>
    </cdr:to>
    <cdr:sp macro="" textlink="">
      <cdr:nvSpPr>
        <cdr:cNvPr id="2075" name="Rectangle 27"/>
        <cdr:cNvSpPr>
          <a:spLocks xmlns:a="http://schemas.openxmlformats.org/drawingml/2006/main" noChangeArrowheads="1"/>
        </cdr:cNvSpPr>
      </cdr:nvSpPr>
      <cdr:spPr bwMode="auto">
        <a:xfrm xmlns:a="http://schemas.openxmlformats.org/drawingml/2006/main">
          <a:off x="1665097" y="2072243"/>
          <a:ext cx="877729" cy="689551"/>
        </a:xfrm>
        <a:prstGeom xmlns:a="http://schemas.openxmlformats.org/drawingml/2006/main" prst="rect">
          <a:avLst/>
        </a:prstGeom>
        <a:solidFill xmlns:a="http://schemas.openxmlformats.org/drawingml/2006/main">
          <a:srgbClr val="A51681">
            <a:alpha val="50000"/>
          </a:srgbClr>
        </a:solidFill>
        <a:ln xmlns:a="http://schemas.openxmlformats.org/drawingml/2006/main" w="9525">
          <a:solidFill>
            <a:sysClr val="windowText" lastClr="000000"/>
          </a:solid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pPr algn="ctr"/>
          <a:endParaRPr lang="en-US"/>
        </a:p>
        <a:p xmlns:a="http://schemas.openxmlformats.org/drawingml/2006/main">
          <a:pPr algn="ctr"/>
          <a:r>
            <a:rPr lang="en-US" b="1">
              <a:solidFill>
                <a:schemeClr val="bg1"/>
              </a:solidFill>
            </a:rPr>
            <a:t>NO GO</a:t>
          </a:r>
        </a:p>
      </cdr:txBody>
    </cdr:sp>
  </cdr:relSizeAnchor>
  <cdr:relSizeAnchor xmlns:cdr="http://schemas.openxmlformats.org/drawingml/2006/chartDrawing">
    <cdr:from>
      <cdr:x>0.21037</cdr:x>
      <cdr:y>0.43112</cdr:y>
    </cdr:from>
    <cdr:to>
      <cdr:x>0.44738</cdr:x>
      <cdr:y>0.64843</cdr:y>
    </cdr:to>
    <cdr:sp macro="" textlink="">
      <cdr:nvSpPr>
        <cdr:cNvPr id="2074" name="Rectangle 26"/>
        <cdr:cNvSpPr>
          <a:spLocks xmlns:a="http://schemas.openxmlformats.org/drawingml/2006/main" noChangeArrowheads="1"/>
        </cdr:cNvSpPr>
      </cdr:nvSpPr>
      <cdr:spPr bwMode="auto">
        <a:xfrm xmlns:a="http://schemas.openxmlformats.org/drawingml/2006/main">
          <a:off x="784654" y="1378823"/>
          <a:ext cx="880443" cy="693420"/>
        </a:xfrm>
        <a:prstGeom xmlns:a="http://schemas.openxmlformats.org/drawingml/2006/main" prst="rect">
          <a:avLst/>
        </a:prstGeom>
        <a:solidFill xmlns:a="http://schemas.openxmlformats.org/drawingml/2006/main">
          <a:srgbClr val="A51681">
            <a:alpha val="50000"/>
          </a:srgbClr>
        </a:solidFill>
        <a:ln xmlns:a="http://schemas.openxmlformats.org/drawingml/2006/main" w="9525">
          <a:solidFill>
            <a:sysClr val="windowText" lastClr="000000"/>
          </a:solid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pPr algn="ctr"/>
          <a:endParaRPr lang="en-US"/>
        </a:p>
        <a:p xmlns:a="http://schemas.openxmlformats.org/drawingml/2006/main">
          <a:pPr algn="ctr"/>
          <a:r>
            <a:rPr lang="en-US" b="1">
              <a:solidFill>
                <a:schemeClr val="bg1"/>
              </a:solidFill>
            </a:rPr>
            <a:t>NO</a:t>
          </a:r>
          <a:r>
            <a:rPr lang="en-US" b="1" baseline="0">
              <a:solidFill>
                <a:schemeClr val="bg1"/>
              </a:solidFill>
            </a:rPr>
            <a:t> GO</a:t>
          </a:r>
          <a:endParaRPr lang="en-US" b="1">
            <a:solidFill>
              <a:schemeClr val="bg1"/>
            </a:solidFill>
          </a:endParaRPr>
        </a:p>
      </cdr:txBody>
    </cdr:sp>
  </cdr:relSizeAnchor>
  <cdr:relSizeAnchor xmlns:cdr="http://schemas.openxmlformats.org/drawingml/2006/chartDrawing">
    <cdr:from>
      <cdr:x>0.68367</cdr:x>
      <cdr:y>0.43112</cdr:y>
    </cdr:from>
    <cdr:to>
      <cdr:x>0.91946</cdr:x>
      <cdr:y>0.64843</cdr:y>
    </cdr:to>
    <cdr:sp macro="" textlink="">
      <cdr:nvSpPr>
        <cdr:cNvPr id="2073" name="Rectangle 25"/>
        <cdr:cNvSpPr>
          <a:spLocks xmlns:a="http://schemas.openxmlformats.org/drawingml/2006/main" noChangeArrowheads="1"/>
        </cdr:cNvSpPr>
      </cdr:nvSpPr>
      <cdr:spPr bwMode="auto">
        <a:xfrm xmlns:a="http://schemas.openxmlformats.org/drawingml/2006/main">
          <a:off x="2542826" y="1378823"/>
          <a:ext cx="875919" cy="693420"/>
        </a:xfrm>
        <a:prstGeom xmlns:a="http://schemas.openxmlformats.org/drawingml/2006/main" prst="rect">
          <a:avLst/>
        </a:prstGeom>
        <a:solidFill xmlns:a="http://schemas.openxmlformats.org/drawingml/2006/main">
          <a:srgbClr val="8CC63F">
            <a:alpha val="50000"/>
          </a:srgbClr>
        </a:solidFill>
        <a:ln xmlns:a="http://schemas.openxmlformats.org/drawingml/2006/main" w="9525">
          <a:solidFill>
            <a:sysClr val="windowText" lastClr="000000"/>
          </a:solid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pPr algn="ctr"/>
          <a:endParaRPr lang="en-US" b="1">
            <a:solidFill>
              <a:sysClr val="windowText" lastClr="000000"/>
            </a:solidFill>
          </a:endParaRPr>
        </a:p>
        <a:p xmlns:a="http://schemas.openxmlformats.org/drawingml/2006/main">
          <a:pPr algn="ctr"/>
          <a:r>
            <a:rPr lang="en-US" b="1">
              <a:solidFill>
                <a:sysClr val="windowText" lastClr="000000"/>
              </a:solidFill>
            </a:rPr>
            <a:t>GO</a:t>
          </a:r>
        </a:p>
      </cdr:txBody>
    </cdr:sp>
  </cdr:relSizeAnchor>
  <cdr:relSizeAnchor xmlns:cdr="http://schemas.openxmlformats.org/drawingml/2006/chartDrawing">
    <cdr:from>
      <cdr:x>0.68367</cdr:x>
      <cdr:y>0.64843</cdr:y>
    </cdr:from>
    <cdr:to>
      <cdr:x>0.91946</cdr:x>
      <cdr:y>0.86453</cdr:y>
    </cdr:to>
    <cdr:sp macro="" textlink="">
      <cdr:nvSpPr>
        <cdr:cNvPr id="2071" name="Rectangle 23"/>
        <cdr:cNvSpPr>
          <a:spLocks xmlns:a="http://schemas.openxmlformats.org/drawingml/2006/main" noChangeArrowheads="1"/>
        </cdr:cNvSpPr>
      </cdr:nvSpPr>
      <cdr:spPr bwMode="auto">
        <a:xfrm xmlns:a="http://schemas.openxmlformats.org/drawingml/2006/main">
          <a:off x="2542826" y="2072243"/>
          <a:ext cx="875919" cy="689551"/>
        </a:xfrm>
        <a:prstGeom xmlns:a="http://schemas.openxmlformats.org/drawingml/2006/main" prst="rect">
          <a:avLst/>
        </a:prstGeom>
        <a:solidFill xmlns:a="http://schemas.openxmlformats.org/drawingml/2006/main">
          <a:srgbClr val="CCFFCC">
            <a:alpha val="50000"/>
          </a:srgbClr>
        </a:solidFill>
        <a:ln xmlns:a="http://schemas.openxmlformats.org/drawingml/2006/main" w="9525">
          <a:solidFill>
            <a:sysClr val="windowText" lastClr="000000"/>
          </a:solid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pPr algn="ctr"/>
          <a:endParaRPr lang="en-US"/>
        </a:p>
        <a:p xmlns:a="http://schemas.openxmlformats.org/drawingml/2006/main">
          <a:pPr algn="ctr"/>
          <a:r>
            <a:rPr lang="en-US"/>
            <a:t>Consider</a:t>
          </a:r>
        </a:p>
      </cdr:txBody>
    </cdr:sp>
  </cdr:relSizeAnchor>
  <cdr:relSizeAnchor xmlns:cdr="http://schemas.openxmlformats.org/drawingml/2006/chartDrawing">
    <cdr:from>
      <cdr:x>0.44738</cdr:x>
      <cdr:y>0.43112</cdr:y>
    </cdr:from>
    <cdr:to>
      <cdr:x>0.68367</cdr:x>
      <cdr:y>0.64843</cdr:y>
    </cdr:to>
    <cdr:sp macro="" textlink="">
      <cdr:nvSpPr>
        <cdr:cNvPr id="2070" name="Rectangle 22"/>
        <cdr:cNvSpPr>
          <a:spLocks xmlns:a="http://schemas.openxmlformats.org/drawingml/2006/main" noChangeArrowheads="1"/>
        </cdr:cNvSpPr>
      </cdr:nvSpPr>
      <cdr:spPr bwMode="auto">
        <a:xfrm xmlns:a="http://schemas.openxmlformats.org/drawingml/2006/main">
          <a:off x="1665097" y="1378823"/>
          <a:ext cx="877729" cy="693420"/>
        </a:xfrm>
        <a:prstGeom xmlns:a="http://schemas.openxmlformats.org/drawingml/2006/main" prst="rect">
          <a:avLst/>
        </a:prstGeom>
        <a:solidFill xmlns:a="http://schemas.openxmlformats.org/drawingml/2006/main">
          <a:srgbClr val="CCFFCC">
            <a:alpha val="50000"/>
          </a:srgbClr>
        </a:solidFill>
        <a:ln xmlns:a="http://schemas.openxmlformats.org/drawingml/2006/main" w="9525">
          <a:solidFill>
            <a:sysClr val="windowText" lastClr="000000"/>
          </a:solid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pPr algn="ctr"/>
          <a:endParaRPr lang="en-US"/>
        </a:p>
        <a:p xmlns:a="http://schemas.openxmlformats.org/drawingml/2006/main">
          <a:pPr algn="ctr"/>
          <a:r>
            <a:rPr lang="en-US"/>
            <a:t>Consider</a:t>
          </a:r>
        </a:p>
      </cdr:txBody>
    </cdr:sp>
  </cdr:relSizeAnchor>
  <cdr:relSizeAnchor xmlns:cdr="http://schemas.openxmlformats.org/drawingml/2006/chartDrawing">
    <cdr:from>
      <cdr:x>0.44738</cdr:x>
      <cdr:y>0.21502</cdr:y>
    </cdr:from>
    <cdr:to>
      <cdr:x>0.68367</cdr:x>
      <cdr:y>0.43112</cdr:y>
    </cdr:to>
    <cdr:sp macro="" textlink="">
      <cdr:nvSpPr>
        <cdr:cNvPr id="2069" name="Rectangle 21"/>
        <cdr:cNvSpPr>
          <a:spLocks xmlns:a="http://schemas.openxmlformats.org/drawingml/2006/main" noChangeArrowheads="1"/>
        </cdr:cNvSpPr>
      </cdr:nvSpPr>
      <cdr:spPr bwMode="auto">
        <a:xfrm xmlns:a="http://schemas.openxmlformats.org/drawingml/2006/main">
          <a:off x="1665097" y="689273"/>
          <a:ext cx="877729" cy="689550"/>
        </a:xfrm>
        <a:prstGeom xmlns:a="http://schemas.openxmlformats.org/drawingml/2006/main" prst="rect">
          <a:avLst/>
        </a:prstGeom>
        <a:solidFill xmlns:a="http://schemas.openxmlformats.org/drawingml/2006/main">
          <a:srgbClr val="8CC63F">
            <a:alpha val="50000"/>
          </a:srgbClr>
        </a:solidFill>
        <a:ln xmlns:a="http://schemas.openxmlformats.org/drawingml/2006/main" w="9525">
          <a:solidFill>
            <a:sysClr val="windowText" lastClr="000000"/>
          </a:solid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pPr algn="ctr"/>
          <a:endParaRPr lang="en-US" b="1">
            <a:solidFill>
              <a:sysClr val="windowText" lastClr="000000"/>
            </a:solidFill>
          </a:endParaRPr>
        </a:p>
        <a:p xmlns:a="http://schemas.openxmlformats.org/drawingml/2006/main">
          <a:pPr algn="ctr"/>
          <a:r>
            <a:rPr lang="en-US" b="1">
              <a:solidFill>
                <a:sysClr val="windowText" lastClr="000000"/>
              </a:solidFill>
            </a:rPr>
            <a:t>GO</a:t>
          </a:r>
        </a:p>
      </cdr:txBody>
    </cdr:sp>
  </cdr:relSizeAnchor>
  <cdr:relSizeAnchor xmlns:cdr="http://schemas.openxmlformats.org/drawingml/2006/chartDrawing">
    <cdr:from>
      <cdr:x>0.21037</cdr:x>
      <cdr:y>0.21502</cdr:y>
    </cdr:from>
    <cdr:to>
      <cdr:x>0.44738</cdr:x>
      <cdr:y>0.43112</cdr:y>
    </cdr:to>
    <cdr:sp macro="" textlink="">
      <cdr:nvSpPr>
        <cdr:cNvPr id="2068" name="Rectangle 20"/>
        <cdr:cNvSpPr>
          <a:spLocks xmlns:a="http://schemas.openxmlformats.org/drawingml/2006/main" noChangeArrowheads="1"/>
        </cdr:cNvSpPr>
      </cdr:nvSpPr>
      <cdr:spPr bwMode="auto">
        <a:xfrm xmlns:a="http://schemas.openxmlformats.org/drawingml/2006/main">
          <a:off x="784654" y="689273"/>
          <a:ext cx="880443" cy="689550"/>
        </a:xfrm>
        <a:prstGeom xmlns:a="http://schemas.openxmlformats.org/drawingml/2006/main" prst="rect">
          <a:avLst/>
        </a:prstGeom>
        <a:solidFill xmlns:a="http://schemas.openxmlformats.org/drawingml/2006/main">
          <a:srgbClr val="CCFFCC">
            <a:alpha val="50000"/>
          </a:srgbClr>
        </a:solidFill>
        <a:ln xmlns:a="http://schemas.openxmlformats.org/drawingml/2006/main" w="9525">
          <a:solidFill>
            <a:sysClr val="windowText" lastClr="000000"/>
          </a:solid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pPr algn="ctr"/>
          <a:endParaRPr lang="en-US"/>
        </a:p>
        <a:p xmlns:a="http://schemas.openxmlformats.org/drawingml/2006/main">
          <a:pPr algn="ctr"/>
          <a:r>
            <a:rPr lang="en-US"/>
            <a:t>Consider</a:t>
          </a:r>
        </a:p>
      </cdr:txBody>
    </cdr:sp>
  </cdr:relSizeAnchor>
  <cdr:relSizeAnchor xmlns:cdr="http://schemas.openxmlformats.org/drawingml/2006/chartDrawing">
    <cdr:from>
      <cdr:x>0.44738</cdr:x>
      <cdr:y>0.21502</cdr:y>
    </cdr:from>
    <cdr:to>
      <cdr:x>0.44738</cdr:x>
      <cdr:y>0.87496</cdr:y>
    </cdr:to>
    <cdr:sp macro="" textlink="">
      <cdr:nvSpPr>
        <cdr:cNvPr id="2049" name="Line 1"/>
        <cdr:cNvSpPr>
          <a:spLocks xmlns:a="http://schemas.openxmlformats.org/drawingml/2006/main" noChangeShapeType="1"/>
        </cdr:cNvSpPr>
      </cdr:nvSpPr>
      <cdr:spPr bwMode="auto">
        <a:xfrm xmlns:a="http://schemas.openxmlformats.org/drawingml/2006/main" flipV="1">
          <a:off x="1665097" y="689273"/>
          <a:ext cx="0" cy="2105799"/>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0.6844</cdr:x>
      <cdr:y>0.21502</cdr:y>
    </cdr:from>
    <cdr:to>
      <cdr:x>0.6844</cdr:x>
      <cdr:y>0.87496</cdr:y>
    </cdr:to>
    <cdr:sp macro="" textlink="">
      <cdr:nvSpPr>
        <cdr:cNvPr id="2050" name="Line 2"/>
        <cdr:cNvSpPr>
          <a:spLocks xmlns:a="http://schemas.openxmlformats.org/drawingml/2006/main" noChangeShapeType="1"/>
        </cdr:cNvSpPr>
      </cdr:nvSpPr>
      <cdr:spPr bwMode="auto">
        <a:xfrm xmlns:a="http://schemas.openxmlformats.org/drawingml/2006/main" flipV="1">
          <a:off x="2545540" y="689273"/>
          <a:ext cx="0" cy="2105799"/>
        </a:xfrm>
        <a:prstGeom xmlns:a="http://schemas.openxmlformats.org/drawingml/2006/main" prst="line">
          <a:avLst/>
        </a:prstGeom>
        <a:noFill xmlns:a="http://schemas.openxmlformats.org/drawingml/2006/main"/>
        <a:ln xmlns:a="http://schemas.openxmlformats.org/drawingml/2006/main" w="952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0.68367</cdr:x>
      <cdr:y>0.21502</cdr:y>
    </cdr:from>
    <cdr:to>
      <cdr:x>0.91946</cdr:x>
      <cdr:y>0.43112</cdr:y>
    </cdr:to>
    <cdr:sp macro="" textlink="">
      <cdr:nvSpPr>
        <cdr:cNvPr id="2072" name="Rectangle 24"/>
        <cdr:cNvSpPr>
          <a:spLocks xmlns:a="http://schemas.openxmlformats.org/drawingml/2006/main" noChangeArrowheads="1"/>
        </cdr:cNvSpPr>
      </cdr:nvSpPr>
      <cdr:spPr bwMode="auto">
        <a:xfrm xmlns:a="http://schemas.openxmlformats.org/drawingml/2006/main">
          <a:off x="2607891" y="620564"/>
          <a:ext cx="899431" cy="623681"/>
        </a:xfrm>
        <a:prstGeom xmlns:a="http://schemas.openxmlformats.org/drawingml/2006/main" prst="rect">
          <a:avLst/>
        </a:prstGeom>
        <a:solidFill xmlns:a="http://schemas.openxmlformats.org/drawingml/2006/main">
          <a:srgbClr val="8CC63F">
            <a:alpha val="50000"/>
          </a:srgbClr>
        </a:solidFill>
        <a:ln xmlns:a="http://schemas.openxmlformats.org/drawingml/2006/main" w="9525">
          <a:solidFill>
            <a:sysClr val="windowText" lastClr="000000"/>
          </a:solid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pPr algn="ctr"/>
          <a:endParaRPr lang="en-US" b="1">
            <a:solidFill>
              <a:sysClr val="windowText" lastClr="000000"/>
            </a:solidFill>
          </a:endParaRPr>
        </a:p>
        <a:p xmlns:a="http://schemas.openxmlformats.org/drawingml/2006/main">
          <a:pPr algn="ctr"/>
          <a:r>
            <a:rPr lang="en-US" b="1">
              <a:solidFill>
                <a:sysClr val="windowText" lastClr="000000"/>
              </a:solidFill>
            </a:rPr>
            <a:t>GO</a:t>
          </a:r>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0</xdr:colOff>
      <xdr:row>13</xdr:row>
      <xdr:rowOff>0</xdr:rowOff>
    </xdr:from>
    <xdr:to>
      <xdr:col>21</xdr:col>
      <xdr:colOff>0</xdr:colOff>
      <xdr:row>14</xdr:row>
      <xdr:rowOff>0</xdr:rowOff>
    </xdr:to>
    <xdr:sp macro="" textlink="">
      <xdr:nvSpPr>
        <xdr:cNvPr id="2" name="Rectangle 500"/>
        <xdr:cNvSpPr>
          <a:spLocks noChangeArrowheads="1"/>
        </xdr:cNvSpPr>
      </xdr:nvSpPr>
      <xdr:spPr bwMode="auto">
        <a:xfrm>
          <a:off x="0" y="12468225"/>
          <a:ext cx="9896475" cy="7334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xdr:from>
      <xdr:col>0</xdr:col>
      <xdr:colOff>0</xdr:colOff>
      <xdr:row>0</xdr:row>
      <xdr:rowOff>142875</xdr:rowOff>
    </xdr:from>
    <xdr:to>
      <xdr:col>21</xdr:col>
      <xdr:colOff>0</xdr:colOff>
      <xdr:row>1</xdr:row>
      <xdr:rowOff>0</xdr:rowOff>
    </xdr:to>
    <xdr:sp macro="" textlink="">
      <xdr:nvSpPr>
        <xdr:cNvPr id="39" name="Rectangle 498"/>
        <xdr:cNvSpPr>
          <a:spLocks noChangeArrowheads="1"/>
        </xdr:cNvSpPr>
      </xdr:nvSpPr>
      <xdr:spPr bwMode="auto">
        <a:xfrm>
          <a:off x="0" y="142875"/>
          <a:ext cx="9896475" cy="63817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sp>
    <xdr:clientData/>
  </xdr:twoCellAnchor>
  <xdr:twoCellAnchor editAs="oneCell">
    <xdr:from>
      <xdr:col>0</xdr:col>
      <xdr:colOff>238125</xdr:colOff>
      <xdr:row>0</xdr:row>
      <xdr:rowOff>0</xdr:rowOff>
    </xdr:from>
    <xdr:to>
      <xdr:col>6</xdr:col>
      <xdr:colOff>238125</xdr:colOff>
      <xdr:row>0</xdr:row>
      <xdr:rowOff>742950</xdr:rowOff>
    </xdr:to>
    <xdr:pic>
      <xdr:nvPicPr>
        <xdr:cNvPr id="42" name="Picture 10" descr="gon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238125" y="0"/>
          <a:ext cx="2143125" cy="7429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19</xdr:col>
      <xdr:colOff>276225</xdr:colOff>
      <xdr:row>0</xdr:row>
      <xdr:rowOff>104775</xdr:rowOff>
    </xdr:from>
    <xdr:to>
      <xdr:col>20</xdr:col>
      <xdr:colOff>546100</xdr:colOff>
      <xdr:row>0</xdr:row>
      <xdr:rowOff>310461</xdr:rowOff>
    </xdr:to>
    <xdr:pic>
      <xdr:nvPicPr>
        <xdr:cNvPr id="5" name="Picture 4" descr="AECOM_color_rgb.jpg"/>
        <xdr:cNvPicPr>
          <a:picLocks noChangeAspect="1"/>
        </xdr:cNvPicPr>
      </xdr:nvPicPr>
      <xdr:blipFill>
        <a:blip xmlns:r="http://schemas.openxmlformats.org/officeDocument/2006/relationships" r:embed="rId2" cstate="print"/>
        <a:stretch>
          <a:fillRect/>
        </a:stretch>
      </xdr:blipFill>
      <xdr:spPr>
        <a:xfrm>
          <a:off x="8924925" y="104775"/>
          <a:ext cx="898525" cy="20568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control" Target="../activeX/activeX10.xml"/><Relationship Id="rId18" Type="http://schemas.openxmlformats.org/officeDocument/2006/relationships/control" Target="../activeX/activeX15.xml"/><Relationship Id="rId26" Type="http://schemas.openxmlformats.org/officeDocument/2006/relationships/control" Target="../activeX/activeX23.xml"/><Relationship Id="rId3" Type="http://schemas.openxmlformats.org/officeDocument/2006/relationships/vmlDrawing" Target="../drawings/vmlDrawing1.vml"/><Relationship Id="rId21" Type="http://schemas.openxmlformats.org/officeDocument/2006/relationships/control" Target="../activeX/activeX18.xml"/><Relationship Id="rId34" Type="http://schemas.openxmlformats.org/officeDocument/2006/relationships/control" Target="../activeX/activeX31.xml"/><Relationship Id="rId7" Type="http://schemas.openxmlformats.org/officeDocument/2006/relationships/control" Target="../activeX/activeX4.xml"/><Relationship Id="rId12" Type="http://schemas.openxmlformats.org/officeDocument/2006/relationships/control" Target="../activeX/activeX9.xml"/><Relationship Id="rId17" Type="http://schemas.openxmlformats.org/officeDocument/2006/relationships/control" Target="../activeX/activeX14.xml"/><Relationship Id="rId25" Type="http://schemas.openxmlformats.org/officeDocument/2006/relationships/control" Target="../activeX/activeX22.xml"/><Relationship Id="rId33" Type="http://schemas.openxmlformats.org/officeDocument/2006/relationships/control" Target="../activeX/activeX30.xml"/><Relationship Id="rId2" Type="http://schemas.openxmlformats.org/officeDocument/2006/relationships/drawing" Target="../drawings/drawing2.xml"/><Relationship Id="rId16" Type="http://schemas.openxmlformats.org/officeDocument/2006/relationships/control" Target="../activeX/activeX13.xml"/><Relationship Id="rId20" Type="http://schemas.openxmlformats.org/officeDocument/2006/relationships/control" Target="../activeX/activeX17.xml"/><Relationship Id="rId29" Type="http://schemas.openxmlformats.org/officeDocument/2006/relationships/control" Target="../activeX/activeX26.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control" Target="../activeX/activeX8.xml"/><Relationship Id="rId24" Type="http://schemas.openxmlformats.org/officeDocument/2006/relationships/control" Target="../activeX/activeX21.xml"/><Relationship Id="rId32" Type="http://schemas.openxmlformats.org/officeDocument/2006/relationships/control" Target="../activeX/activeX29.xml"/><Relationship Id="rId5" Type="http://schemas.openxmlformats.org/officeDocument/2006/relationships/control" Target="../activeX/activeX2.xml"/><Relationship Id="rId15" Type="http://schemas.openxmlformats.org/officeDocument/2006/relationships/control" Target="../activeX/activeX12.xml"/><Relationship Id="rId23" Type="http://schemas.openxmlformats.org/officeDocument/2006/relationships/control" Target="../activeX/activeX20.xml"/><Relationship Id="rId28" Type="http://schemas.openxmlformats.org/officeDocument/2006/relationships/control" Target="../activeX/activeX25.xml"/><Relationship Id="rId10" Type="http://schemas.openxmlformats.org/officeDocument/2006/relationships/control" Target="../activeX/activeX7.xml"/><Relationship Id="rId19" Type="http://schemas.openxmlformats.org/officeDocument/2006/relationships/control" Target="../activeX/activeX16.xml"/><Relationship Id="rId31" Type="http://schemas.openxmlformats.org/officeDocument/2006/relationships/control" Target="../activeX/activeX28.xml"/><Relationship Id="rId4" Type="http://schemas.openxmlformats.org/officeDocument/2006/relationships/control" Target="../activeX/activeX1.xml"/><Relationship Id="rId9" Type="http://schemas.openxmlformats.org/officeDocument/2006/relationships/control" Target="../activeX/activeX6.xml"/><Relationship Id="rId14" Type="http://schemas.openxmlformats.org/officeDocument/2006/relationships/control" Target="../activeX/activeX11.xml"/><Relationship Id="rId22" Type="http://schemas.openxmlformats.org/officeDocument/2006/relationships/control" Target="../activeX/activeX19.xml"/><Relationship Id="rId27" Type="http://schemas.openxmlformats.org/officeDocument/2006/relationships/control" Target="../activeX/activeX24.xml"/><Relationship Id="rId30" Type="http://schemas.openxmlformats.org/officeDocument/2006/relationships/control" Target="../activeX/activeX27.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1:U54"/>
  <sheetViews>
    <sheetView showGridLines="0" tabSelected="1" zoomScaleNormal="100" zoomScaleSheetLayoutView="100" workbookViewId="0">
      <selection activeCell="K8" sqref="K8:U8"/>
    </sheetView>
  </sheetViews>
  <sheetFormatPr defaultRowHeight="12.75"/>
  <cols>
    <col min="1" max="2" width="3.7109375" style="1" customWidth="1"/>
    <col min="3" max="3" width="9.140625" style="1" customWidth="1"/>
    <col min="4" max="4" width="8.140625" style="1" customWidth="1"/>
    <col min="5" max="8" width="3.7109375" style="1" customWidth="1"/>
    <col min="9" max="9" width="27" style="1" customWidth="1"/>
    <col min="10" max="10" width="8" style="1" customWidth="1"/>
    <col min="11" max="15" width="6.140625" style="1" customWidth="1"/>
    <col min="16" max="16" width="6" style="1" customWidth="1"/>
    <col min="17" max="19" width="6.140625" style="1" customWidth="1"/>
    <col min="20" max="20" width="9.42578125" style="1" customWidth="1"/>
    <col min="21" max="21" width="9.28515625" style="1" customWidth="1"/>
    <col min="22" max="35" width="3.7109375" style="1" customWidth="1"/>
    <col min="36" max="16384" width="9.140625" style="1"/>
  </cols>
  <sheetData>
    <row r="1" spans="1:21">
      <c r="A1" s="117"/>
      <c r="B1" s="117"/>
      <c r="C1" s="117"/>
      <c r="D1" s="117"/>
      <c r="E1" s="117"/>
      <c r="F1" s="117"/>
      <c r="G1" s="117"/>
      <c r="H1" s="117"/>
      <c r="I1" s="117"/>
      <c r="J1" s="117"/>
      <c r="K1" s="117"/>
      <c r="L1" s="117"/>
      <c r="M1" s="117"/>
      <c r="N1" s="117"/>
      <c r="O1" s="117"/>
      <c r="P1" s="117"/>
      <c r="Q1" s="117"/>
      <c r="R1" s="117"/>
      <c r="S1" s="117"/>
      <c r="T1" s="117"/>
      <c r="U1" s="117"/>
    </row>
    <row r="2" spans="1:21" ht="61.5" customHeight="1" thickBot="1">
      <c r="A2" s="152"/>
      <c r="B2" s="153"/>
      <c r="C2" s="153"/>
      <c r="D2" s="153"/>
      <c r="E2" s="153"/>
      <c r="F2" s="153"/>
      <c r="G2" s="153"/>
      <c r="H2" s="153"/>
      <c r="I2" s="153"/>
      <c r="J2" s="153"/>
      <c r="K2" s="153"/>
      <c r="L2" s="153"/>
      <c r="M2" s="153"/>
      <c r="N2" s="153"/>
      <c r="O2" s="153"/>
      <c r="P2" s="153"/>
      <c r="Q2" s="153"/>
      <c r="R2" s="153"/>
      <c r="S2" s="153"/>
      <c r="T2" s="153"/>
      <c r="U2" s="153"/>
    </row>
    <row r="3" spans="1:21" s="8" customFormat="1" ht="22.5" customHeight="1" thickBot="1">
      <c r="A3" s="148" t="s">
        <v>96</v>
      </c>
      <c r="B3" s="149"/>
      <c r="C3" s="149"/>
      <c r="D3" s="149"/>
      <c r="E3" s="149"/>
      <c r="F3" s="149"/>
      <c r="G3" s="149"/>
      <c r="H3" s="149"/>
      <c r="I3" s="149"/>
      <c r="J3" s="149"/>
      <c r="K3" s="149"/>
      <c r="L3" s="149"/>
      <c r="M3" s="149"/>
      <c r="N3" s="149"/>
      <c r="O3" s="149"/>
      <c r="P3" s="149"/>
      <c r="Q3" s="149"/>
      <c r="R3" s="149"/>
      <c r="S3" s="149"/>
      <c r="T3" s="149"/>
      <c r="U3" s="150"/>
    </row>
    <row r="4" spans="1:21" s="37" customFormat="1" ht="20.100000000000001" customHeight="1">
      <c r="A4" s="151" t="s">
        <v>113</v>
      </c>
      <c r="B4" s="151"/>
      <c r="C4" s="151"/>
      <c r="D4" s="151"/>
      <c r="E4" s="151"/>
      <c r="F4" s="151"/>
      <c r="G4" s="151"/>
      <c r="H4" s="151"/>
      <c r="I4" s="151"/>
      <c r="J4" s="151"/>
      <c r="K4" s="151"/>
      <c r="L4" s="151"/>
      <c r="M4" s="151"/>
      <c r="N4" s="151"/>
      <c r="O4" s="151"/>
      <c r="P4" s="151"/>
      <c r="Q4" s="151"/>
      <c r="R4" s="151"/>
      <c r="S4" s="151"/>
      <c r="T4" s="151"/>
      <c r="U4" s="151"/>
    </row>
    <row r="5" spans="1:21" s="37" customFormat="1" ht="20.100000000000001" customHeight="1">
      <c r="A5" s="154"/>
      <c r="B5" s="154"/>
      <c r="C5" s="154"/>
      <c r="D5" s="154"/>
      <c r="E5" s="154"/>
      <c r="F5" s="154"/>
      <c r="G5" s="154"/>
      <c r="H5" s="154"/>
      <c r="I5" s="154"/>
      <c r="J5" s="154"/>
      <c r="K5" s="124" t="s">
        <v>39</v>
      </c>
      <c r="L5" s="124"/>
      <c r="M5" s="124"/>
      <c r="N5" s="124"/>
      <c r="O5" s="124"/>
      <c r="P5" s="124"/>
      <c r="Q5" s="124"/>
      <c r="R5" s="124"/>
      <c r="S5" s="124"/>
      <c r="T5" s="124"/>
      <c r="U5" s="124"/>
    </row>
    <row r="6" spans="1:21" s="37" customFormat="1" ht="20.100000000000001" customHeight="1">
      <c r="A6" s="133" t="s">
        <v>110</v>
      </c>
      <c r="B6" s="134"/>
      <c r="C6" s="134"/>
      <c r="D6" s="134"/>
      <c r="E6" s="134"/>
      <c r="F6" s="134"/>
      <c r="G6" s="134"/>
      <c r="H6" s="134"/>
      <c r="I6" s="134"/>
      <c r="J6" s="134"/>
      <c r="K6" s="134"/>
      <c r="L6" s="134"/>
      <c r="M6" s="134"/>
      <c r="N6" s="134"/>
      <c r="O6" s="134"/>
      <c r="P6" s="134"/>
      <c r="Q6" s="134"/>
      <c r="R6" s="134"/>
      <c r="S6" s="134"/>
      <c r="T6" s="134"/>
      <c r="U6" s="135"/>
    </row>
    <row r="7" spans="1:21" s="37" customFormat="1" ht="20.100000000000001" customHeight="1">
      <c r="A7" s="158" t="s">
        <v>65</v>
      </c>
      <c r="B7" s="158"/>
      <c r="C7" s="158"/>
      <c r="D7" s="158"/>
      <c r="E7" s="158"/>
      <c r="F7" s="158"/>
      <c r="G7" s="158"/>
      <c r="H7" s="158"/>
      <c r="I7" s="158"/>
      <c r="J7" s="158"/>
      <c r="K7" s="159"/>
      <c r="L7" s="159"/>
      <c r="M7" s="159"/>
      <c r="N7" s="159"/>
      <c r="O7" s="159"/>
      <c r="P7" s="159"/>
      <c r="Q7" s="159"/>
      <c r="R7" s="159"/>
      <c r="S7" s="159"/>
      <c r="T7" s="159"/>
      <c r="U7" s="159"/>
    </row>
    <row r="8" spans="1:21" s="8" customFormat="1" ht="18" customHeight="1">
      <c r="A8" s="125" t="s">
        <v>68</v>
      </c>
      <c r="B8" s="126"/>
      <c r="C8" s="126"/>
      <c r="D8" s="126"/>
      <c r="E8" s="126"/>
      <c r="F8" s="126"/>
      <c r="G8" s="126"/>
      <c r="H8" s="126"/>
      <c r="I8" s="126"/>
      <c r="J8" s="126"/>
      <c r="K8" s="155"/>
      <c r="L8" s="156"/>
      <c r="M8" s="156"/>
      <c r="N8" s="156"/>
      <c r="O8" s="156"/>
      <c r="P8" s="156"/>
      <c r="Q8" s="156"/>
      <c r="R8" s="156"/>
      <c r="S8" s="156"/>
      <c r="T8" s="156"/>
      <c r="U8" s="157"/>
    </row>
    <row r="9" spans="1:21" s="8" customFormat="1" ht="18" customHeight="1">
      <c r="A9" s="125" t="s">
        <v>69</v>
      </c>
      <c r="B9" s="126"/>
      <c r="C9" s="126"/>
      <c r="D9" s="126"/>
      <c r="E9" s="126"/>
      <c r="F9" s="126"/>
      <c r="G9" s="126"/>
      <c r="H9" s="126"/>
      <c r="I9" s="126"/>
      <c r="J9" s="126"/>
      <c r="K9" s="155"/>
      <c r="L9" s="156"/>
      <c r="M9" s="156"/>
      <c r="N9" s="156"/>
      <c r="O9" s="156"/>
      <c r="P9" s="156"/>
      <c r="Q9" s="156"/>
      <c r="R9" s="156"/>
      <c r="S9" s="156"/>
      <c r="T9" s="156"/>
      <c r="U9" s="157"/>
    </row>
    <row r="10" spans="1:21" s="8" customFormat="1" ht="18" customHeight="1">
      <c r="A10" s="125" t="s">
        <v>70</v>
      </c>
      <c r="B10" s="126"/>
      <c r="C10" s="126"/>
      <c r="D10" s="126"/>
      <c r="E10" s="126"/>
      <c r="F10" s="126"/>
      <c r="G10" s="126"/>
      <c r="H10" s="126"/>
      <c r="I10" s="126"/>
      <c r="J10" s="126"/>
      <c r="K10" s="155"/>
      <c r="L10" s="156"/>
      <c r="M10" s="156"/>
      <c r="N10" s="156"/>
      <c r="O10" s="156"/>
      <c r="P10" s="156"/>
      <c r="Q10" s="156"/>
      <c r="R10" s="156"/>
      <c r="S10" s="156"/>
      <c r="T10" s="156"/>
      <c r="U10" s="157"/>
    </row>
    <row r="11" spans="1:21" s="8" customFormat="1" ht="20.100000000000001" customHeight="1">
      <c r="A11" s="145"/>
      <c r="B11" s="145"/>
      <c r="C11" s="145"/>
      <c r="D11" s="145"/>
      <c r="E11" s="145"/>
      <c r="F11" s="145"/>
      <c r="G11" s="145"/>
      <c r="H11" s="145"/>
      <c r="I11" s="145"/>
      <c r="J11" s="145"/>
      <c r="K11" s="154"/>
      <c r="L11" s="154"/>
      <c r="M11" s="154"/>
      <c r="N11" s="154"/>
      <c r="O11" s="154"/>
      <c r="P11" s="154"/>
      <c r="Q11" s="154"/>
      <c r="R11" s="154"/>
      <c r="S11" s="154"/>
      <c r="T11" s="154"/>
      <c r="U11" s="154"/>
    </row>
    <row r="12" spans="1:21" s="37" customFormat="1" ht="20.100000000000001" customHeight="1">
      <c r="A12" s="133" t="s">
        <v>66</v>
      </c>
      <c r="B12" s="134"/>
      <c r="C12" s="134"/>
      <c r="D12" s="134"/>
      <c r="E12" s="134"/>
      <c r="F12" s="134"/>
      <c r="G12" s="134"/>
      <c r="H12" s="134"/>
      <c r="I12" s="134"/>
      <c r="J12" s="134"/>
      <c r="K12" s="134"/>
      <c r="L12" s="134"/>
      <c r="M12" s="134"/>
      <c r="N12" s="134"/>
      <c r="O12" s="134"/>
      <c r="P12" s="134"/>
      <c r="Q12" s="134"/>
      <c r="R12" s="134"/>
      <c r="S12" s="134"/>
      <c r="T12" s="134"/>
      <c r="U12" s="135"/>
    </row>
    <row r="13" spans="1:21" s="37" customFormat="1" ht="19.5" customHeight="1">
      <c r="A13" s="136" t="s">
        <v>100</v>
      </c>
      <c r="B13" s="136"/>
      <c r="C13" s="136"/>
      <c r="D13" s="136"/>
      <c r="E13" s="136"/>
      <c r="F13" s="136"/>
      <c r="G13" s="136"/>
      <c r="H13" s="136"/>
      <c r="I13" s="136"/>
      <c r="J13" s="136"/>
      <c r="K13" s="136"/>
      <c r="L13" s="136"/>
      <c r="M13" s="136"/>
      <c r="N13" s="136"/>
      <c r="O13" s="136"/>
      <c r="P13" s="136"/>
      <c r="Q13" s="136"/>
      <c r="R13" s="136"/>
      <c r="S13" s="136"/>
      <c r="T13" s="136"/>
      <c r="U13" s="136"/>
    </row>
    <row r="14" spans="1:21" s="8" customFormat="1" ht="18" customHeight="1">
      <c r="A14" s="130" t="s">
        <v>67</v>
      </c>
      <c r="B14" s="131"/>
      <c r="C14" s="131"/>
      <c r="D14" s="131"/>
      <c r="E14" s="131"/>
      <c r="F14" s="131"/>
      <c r="G14" s="131"/>
      <c r="H14" s="131"/>
      <c r="I14" s="131"/>
      <c r="J14" s="132"/>
      <c r="K14" s="127"/>
      <c r="L14" s="128"/>
      <c r="M14" s="128"/>
      <c r="N14" s="128"/>
      <c r="O14" s="128"/>
      <c r="P14" s="128"/>
      <c r="Q14" s="128"/>
      <c r="R14" s="128"/>
      <c r="S14" s="128"/>
      <c r="T14" s="128"/>
      <c r="U14" s="129"/>
    </row>
    <row r="15" spans="1:21" s="8" customFormat="1" ht="18" customHeight="1">
      <c r="A15" s="130" t="s">
        <v>71</v>
      </c>
      <c r="B15" s="131"/>
      <c r="C15" s="131"/>
      <c r="D15" s="131"/>
      <c r="E15" s="131"/>
      <c r="F15" s="131"/>
      <c r="G15" s="131"/>
      <c r="H15" s="131"/>
      <c r="I15" s="131"/>
      <c r="J15" s="132"/>
      <c r="K15" s="127"/>
      <c r="L15" s="128"/>
      <c r="M15" s="128"/>
      <c r="N15" s="128"/>
      <c r="O15" s="128"/>
      <c r="P15" s="128"/>
      <c r="Q15" s="128"/>
      <c r="R15" s="128"/>
      <c r="S15" s="128"/>
      <c r="T15" s="128"/>
      <c r="U15" s="129"/>
    </row>
    <row r="16" spans="1:21" s="8" customFormat="1" ht="18" customHeight="1">
      <c r="A16" s="118" t="s">
        <v>101</v>
      </c>
      <c r="B16" s="119"/>
      <c r="C16" s="119"/>
      <c r="D16" s="119"/>
      <c r="E16" s="119"/>
      <c r="F16" s="119"/>
      <c r="G16" s="119"/>
      <c r="H16" s="119"/>
      <c r="I16" s="119"/>
      <c r="J16" s="120"/>
      <c r="K16" s="127"/>
      <c r="L16" s="128"/>
      <c r="M16" s="128"/>
      <c r="N16" s="128"/>
      <c r="O16" s="128"/>
      <c r="P16" s="128"/>
      <c r="Q16" s="128"/>
      <c r="R16" s="128"/>
      <c r="S16" s="128"/>
      <c r="T16" s="128"/>
      <c r="U16" s="129"/>
    </row>
    <row r="17" spans="1:21" s="8" customFormat="1" ht="18" customHeight="1">
      <c r="A17" s="118" t="s">
        <v>72</v>
      </c>
      <c r="B17" s="119"/>
      <c r="C17" s="119"/>
      <c r="D17" s="119"/>
      <c r="E17" s="119"/>
      <c r="F17" s="119"/>
      <c r="G17" s="119"/>
      <c r="H17" s="119"/>
      <c r="I17" s="119"/>
      <c r="J17" s="120"/>
      <c r="K17" s="127"/>
      <c r="L17" s="128"/>
      <c r="M17" s="128"/>
      <c r="N17" s="128"/>
      <c r="O17" s="128"/>
      <c r="P17" s="128"/>
      <c r="Q17" s="128"/>
      <c r="R17" s="128"/>
      <c r="S17" s="128"/>
      <c r="T17" s="128"/>
      <c r="U17" s="129"/>
    </row>
    <row r="18" spans="1:21" s="8" customFormat="1" ht="15.95" customHeight="1">
      <c r="A18" s="121" t="s">
        <v>73</v>
      </c>
      <c r="B18" s="122"/>
      <c r="C18" s="122"/>
      <c r="D18" s="122"/>
      <c r="E18" s="122"/>
      <c r="F18" s="122"/>
      <c r="G18" s="122"/>
      <c r="H18" s="122"/>
      <c r="I18" s="122"/>
      <c r="J18" s="123"/>
      <c r="K18" s="127"/>
      <c r="L18" s="128"/>
      <c r="M18" s="128"/>
      <c r="N18" s="128"/>
      <c r="O18" s="128"/>
      <c r="P18" s="128"/>
      <c r="Q18" s="128"/>
      <c r="R18" s="128"/>
      <c r="S18" s="128"/>
      <c r="T18" s="128"/>
      <c r="U18" s="129"/>
    </row>
    <row r="19" spans="1:21" s="8" customFormat="1" ht="18" customHeight="1">
      <c r="A19" s="130" t="s">
        <v>74</v>
      </c>
      <c r="B19" s="131"/>
      <c r="C19" s="131"/>
      <c r="D19" s="131"/>
      <c r="E19" s="131"/>
      <c r="F19" s="131"/>
      <c r="G19" s="131"/>
      <c r="H19" s="131"/>
      <c r="I19" s="131"/>
      <c r="J19" s="132"/>
      <c r="K19" s="127"/>
      <c r="L19" s="128"/>
      <c r="M19" s="128"/>
      <c r="N19" s="128"/>
      <c r="O19" s="128"/>
      <c r="P19" s="128"/>
      <c r="Q19" s="128"/>
      <c r="R19" s="128"/>
      <c r="S19" s="128"/>
      <c r="T19" s="128"/>
      <c r="U19" s="129"/>
    </row>
    <row r="20" spans="1:21" s="8" customFormat="1" ht="18" customHeight="1">
      <c r="A20" s="130" t="s">
        <v>109</v>
      </c>
      <c r="B20" s="131"/>
      <c r="C20" s="131"/>
      <c r="D20" s="131"/>
      <c r="E20" s="131"/>
      <c r="F20" s="131"/>
      <c r="G20" s="131"/>
      <c r="H20" s="131"/>
      <c r="I20" s="131"/>
      <c r="J20" s="132"/>
      <c r="K20" s="127"/>
      <c r="L20" s="128"/>
      <c r="M20" s="128"/>
      <c r="N20" s="128"/>
      <c r="O20" s="128"/>
      <c r="P20" s="128"/>
      <c r="Q20" s="128"/>
      <c r="R20" s="128"/>
      <c r="S20" s="128"/>
      <c r="T20" s="128"/>
      <c r="U20" s="129"/>
    </row>
    <row r="21" spans="1:21" s="8" customFormat="1" ht="18" customHeight="1">
      <c r="A21" s="130" t="s">
        <v>75</v>
      </c>
      <c r="B21" s="131"/>
      <c r="C21" s="131"/>
      <c r="D21" s="131"/>
      <c r="E21" s="131"/>
      <c r="F21" s="131"/>
      <c r="G21" s="131"/>
      <c r="H21" s="131"/>
      <c r="I21" s="131"/>
      <c r="J21" s="132"/>
      <c r="K21" s="127"/>
      <c r="L21" s="128"/>
      <c r="M21" s="128"/>
      <c r="N21" s="128"/>
      <c r="O21" s="128"/>
      <c r="P21" s="128"/>
      <c r="Q21" s="128"/>
      <c r="R21" s="128"/>
      <c r="S21" s="128"/>
      <c r="T21" s="128"/>
      <c r="U21" s="129"/>
    </row>
    <row r="22" spans="1:21" s="8" customFormat="1" ht="20.100000000000001" customHeight="1">
      <c r="A22" s="145"/>
      <c r="B22" s="145"/>
      <c r="C22" s="145"/>
      <c r="D22" s="145"/>
      <c r="E22" s="145"/>
      <c r="F22" s="145"/>
      <c r="G22" s="145"/>
      <c r="H22" s="145"/>
      <c r="I22" s="145"/>
      <c r="J22" s="145"/>
      <c r="K22" s="145"/>
      <c r="L22" s="145"/>
      <c r="M22" s="145"/>
      <c r="N22" s="145"/>
      <c r="O22" s="145"/>
      <c r="P22" s="145"/>
      <c r="Q22" s="145"/>
      <c r="R22" s="145"/>
      <c r="S22" s="145"/>
      <c r="T22" s="145"/>
      <c r="U22" s="145"/>
    </row>
    <row r="23" spans="1:21" s="37" customFormat="1" ht="19.5" customHeight="1">
      <c r="A23" s="136" t="s">
        <v>107</v>
      </c>
      <c r="B23" s="136"/>
      <c r="C23" s="136"/>
      <c r="D23" s="136"/>
      <c r="E23" s="136"/>
      <c r="F23" s="136"/>
      <c r="G23" s="136"/>
      <c r="H23" s="136"/>
      <c r="I23" s="136"/>
      <c r="J23" s="136"/>
      <c r="K23" s="136"/>
      <c r="L23" s="136"/>
      <c r="M23" s="136"/>
      <c r="N23" s="136"/>
      <c r="O23" s="136"/>
      <c r="P23" s="136"/>
      <c r="Q23" s="136"/>
      <c r="R23" s="136"/>
      <c r="S23" s="136"/>
      <c r="T23" s="136"/>
      <c r="U23" s="136"/>
    </row>
    <row r="24" spans="1:21" s="8" customFormat="1" ht="20.100000000000001" customHeight="1">
      <c r="A24" s="137" t="s">
        <v>76</v>
      </c>
      <c r="B24" s="138"/>
      <c r="C24" s="138"/>
      <c r="D24" s="138"/>
      <c r="E24" s="138"/>
      <c r="F24" s="138"/>
      <c r="G24" s="138"/>
      <c r="H24" s="138"/>
      <c r="I24" s="138"/>
      <c r="J24" s="138"/>
      <c r="K24" s="127"/>
      <c r="L24" s="128"/>
      <c r="M24" s="128"/>
      <c r="N24" s="128"/>
      <c r="O24" s="128"/>
      <c r="P24" s="128"/>
      <c r="Q24" s="128"/>
      <c r="R24" s="128"/>
      <c r="S24" s="128"/>
      <c r="T24" s="128"/>
      <c r="U24" s="129"/>
    </row>
    <row r="25" spans="1:21" s="8" customFormat="1" ht="20.100000000000001" customHeight="1">
      <c r="A25" s="130" t="s">
        <v>77</v>
      </c>
      <c r="B25" s="131"/>
      <c r="C25" s="131"/>
      <c r="D25" s="131"/>
      <c r="E25" s="131"/>
      <c r="F25" s="131"/>
      <c r="G25" s="131"/>
      <c r="H25" s="131"/>
      <c r="I25" s="131"/>
      <c r="J25" s="132"/>
      <c r="K25" s="127"/>
      <c r="L25" s="128"/>
      <c r="M25" s="128"/>
      <c r="N25" s="128"/>
      <c r="O25" s="128"/>
      <c r="P25" s="128"/>
      <c r="Q25" s="128"/>
      <c r="R25" s="128"/>
      <c r="S25" s="128"/>
      <c r="T25" s="128"/>
      <c r="U25" s="129"/>
    </row>
    <row r="26" spans="1:21" s="8" customFormat="1" ht="20.100000000000001" customHeight="1">
      <c r="A26" s="130" t="s">
        <v>78</v>
      </c>
      <c r="B26" s="131"/>
      <c r="C26" s="131"/>
      <c r="D26" s="131"/>
      <c r="E26" s="131"/>
      <c r="F26" s="131"/>
      <c r="G26" s="131"/>
      <c r="H26" s="131"/>
      <c r="I26" s="131"/>
      <c r="J26" s="132"/>
      <c r="K26" s="127"/>
      <c r="L26" s="128"/>
      <c r="M26" s="128"/>
      <c r="N26" s="128"/>
      <c r="O26" s="128"/>
      <c r="P26" s="128"/>
      <c r="Q26" s="128"/>
      <c r="R26" s="128"/>
      <c r="S26" s="128"/>
      <c r="T26" s="128"/>
      <c r="U26" s="129"/>
    </row>
    <row r="27" spans="1:21" s="8" customFormat="1" ht="19.5" customHeight="1">
      <c r="A27" s="141" t="s">
        <v>108</v>
      </c>
      <c r="B27" s="142"/>
      <c r="C27" s="142"/>
      <c r="D27" s="142"/>
      <c r="E27" s="142"/>
      <c r="F27" s="142"/>
      <c r="G27" s="142"/>
      <c r="H27" s="142"/>
      <c r="I27" s="142"/>
      <c r="J27" s="142"/>
      <c r="K27" s="127"/>
      <c r="L27" s="128"/>
      <c r="M27" s="128"/>
      <c r="N27" s="128"/>
      <c r="O27" s="128"/>
      <c r="P27" s="128"/>
      <c r="Q27" s="128"/>
      <c r="R27" s="128"/>
      <c r="S27" s="128"/>
      <c r="T27" s="128"/>
      <c r="U27" s="129"/>
    </row>
    <row r="28" spans="1:21" s="8" customFormat="1" ht="20.100000000000001" customHeight="1">
      <c r="A28" s="139" t="s">
        <v>38</v>
      </c>
      <c r="B28" s="140"/>
      <c r="C28" s="140"/>
      <c r="D28" s="140"/>
      <c r="E28" s="140"/>
      <c r="F28" s="140"/>
      <c r="G28" s="140"/>
      <c r="H28" s="140"/>
      <c r="I28" s="140"/>
      <c r="J28" s="140"/>
      <c r="K28" s="127"/>
      <c r="L28" s="128"/>
      <c r="M28" s="128"/>
      <c r="N28" s="128"/>
      <c r="O28" s="128"/>
      <c r="P28" s="128"/>
      <c r="Q28" s="128"/>
      <c r="R28" s="128"/>
      <c r="S28" s="128"/>
      <c r="T28" s="128"/>
      <c r="U28" s="129"/>
    </row>
    <row r="29" spans="1:21" s="8" customFormat="1" ht="18" customHeight="1">
      <c r="A29" s="130" t="s">
        <v>79</v>
      </c>
      <c r="B29" s="131"/>
      <c r="C29" s="131"/>
      <c r="D29" s="131"/>
      <c r="E29" s="131"/>
      <c r="F29" s="131"/>
      <c r="G29" s="131"/>
      <c r="H29" s="131"/>
      <c r="I29" s="131"/>
      <c r="J29" s="132"/>
      <c r="K29" s="127"/>
      <c r="L29" s="128"/>
      <c r="M29" s="128"/>
      <c r="N29" s="128"/>
      <c r="O29" s="128"/>
      <c r="P29" s="128"/>
      <c r="Q29" s="128"/>
      <c r="R29" s="128"/>
      <c r="S29" s="128"/>
      <c r="T29" s="128"/>
      <c r="U29" s="129"/>
    </row>
    <row r="30" spans="1:21" s="8" customFormat="1" ht="20.100000000000001" customHeight="1">
      <c r="A30" s="130" t="s">
        <v>80</v>
      </c>
      <c r="B30" s="131"/>
      <c r="C30" s="131"/>
      <c r="D30" s="131"/>
      <c r="E30" s="131"/>
      <c r="F30" s="131"/>
      <c r="G30" s="131"/>
      <c r="H30" s="131"/>
      <c r="I30" s="131"/>
      <c r="J30" s="132"/>
      <c r="K30" s="127"/>
      <c r="L30" s="128"/>
      <c r="M30" s="128"/>
      <c r="N30" s="128"/>
      <c r="O30" s="128"/>
      <c r="P30" s="128"/>
      <c r="Q30" s="128"/>
      <c r="R30" s="128"/>
      <c r="S30" s="128"/>
      <c r="T30" s="128"/>
      <c r="U30" s="129"/>
    </row>
    <row r="31" spans="1:21" s="8" customFormat="1" ht="18" customHeight="1">
      <c r="A31" s="145"/>
      <c r="B31" s="145"/>
      <c r="C31" s="145"/>
      <c r="D31" s="145"/>
      <c r="E31" s="145"/>
      <c r="F31" s="145"/>
      <c r="G31" s="145"/>
      <c r="H31" s="145"/>
      <c r="I31" s="145"/>
      <c r="J31" s="145"/>
      <c r="K31" s="145"/>
      <c r="L31" s="145"/>
      <c r="M31" s="145"/>
      <c r="N31" s="145"/>
      <c r="O31" s="145"/>
      <c r="P31" s="145"/>
      <c r="Q31" s="145"/>
      <c r="R31" s="145"/>
      <c r="S31" s="145"/>
      <c r="T31" s="145"/>
      <c r="U31" s="145"/>
    </row>
    <row r="32" spans="1:21" s="37" customFormat="1" ht="19.5" customHeight="1">
      <c r="A32" s="136" t="s">
        <v>102</v>
      </c>
      <c r="B32" s="136"/>
      <c r="C32" s="136"/>
      <c r="D32" s="136"/>
      <c r="E32" s="136"/>
      <c r="F32" s="136"/>
      <c r="G32" s="136"/>
      <c r="H32" s="136"/>
      <c r="I32" s="136"/>
      <c r="J32" s="136"/>
      <c r="K32" s="136"/>
      <c r="L32" s="136"/>
      <c r="M32" s="136"/>
      <c r="N32" s="136"/>
      <c r="O32" s="136"/>
      <c r="P32" s="136"/>
      <c r="Q32" s="136"/>
      <c r="R32" s="136"/>
      <c r="S32" s="136"/>
      <c r="T32" s="136"/>
      <c r="U32" s="136"/>
    </row>
    <row r="33" spans="1:21" s="8" customFormat="1" ht="18" customHeight="1">
      <c r="A33" s="143" t="s">
        <v>81</v>
      </c>
      <c r="B33" s="143"/>
      <c r="C33" s="143"/>
      <c r="D33" s="143"/>
      <c r="E33" s="143"/>
      <c r="F33" s="143"/>
      <c r="G33" s="143"/>
      <c r="H33" s="143"/>
      <c r="I33" s="143"/>
      <c r="J33" s="143"/>
      <c r="K33" s="144"/>
      <c r="L33" s="144"/>
      <c r="M33" s="144"/>
      <c r="N33" s="144"/>
      <c r="O33" s="144"/>
      <c r="P33" s="144"/>
      <c r="Q33" s="144"/>
      <c r="R33" s="144"/>
      <c r="S33" s="144"/>
      <c r="T33" s="144"/>
      <c r="U33" s="144"/>
    </row>
    <row r="34" spans="1:21" s="8" customFormat="1" ht="18" customHeight="1">
      <c r="A34" s="143" t="s">
        <v>82</v>
      </c>
      <c r="B34" s="143"/>
      <c r="C34" s="143"/>
      <c r="D34" s="143"/>
      <c r="E34" s="143"/>
      <c r="F34" s="143"/>
      <c r="G34" s="143"/>
      <c r="H34" s="143"/>
      <c r="I34" s="143"/>
      <c r="J34" s="143"/>
      <c r="K34" s="144"/>
      <c r="L34" s="144"/>
      <c r="M34" s="144"/>
      <c r="N34" s="144"/>
      <c r="O34" s="144"/>
      <c r="P34" s="144"/>
      <c r="Q34" s="144"/>
      <c r="R34" s="144"/>
      <c r="S34" s="144"/>
      <c r="T34" s="144"/>
      <c r="U34" s="144"/>
    </row>
    <row r="35" spans="1:21" s="8" customFormat="1" ht="18" customHeight="1">
      <c r="A35" s="143" t="s">
        <v>83</v>
      </c>
      <c r="B35" s="143"/>
      <c r="C35" s="143"/>
      <c r="D35" s="143"/>
      <c r="E35" s="143"/>
      <c r="F35" s="143"/>
      <c r="G35" s="143"/>
      <c r="H35" s="143"/>
      <c r="I35" s="143"/>
      <c r="J35" s="143"/>
      <c r="K35" s="144"/>
      <c r="L35" s="144"/>
      <c r="M35" s="144"/>
      <c r="N35" s="144"/>
      <c r="O35" s="144"/>
      <c r="P35" s="144"/>
      <c r="Q35" s="144"/>
      <c r="R35" s="144"/>
      <c r="S35" s="144"/>
      <c r="T35" s="144"/>
      <c r="U35" s="144"/>
    </row>
    <row r="36" spans="1:21" s="8" customFormat="1" ht="18" customHeight="1">
      <c r="A36" s="143" t="s">
        <v>84</v>
      </c>
      <c r="B36" s="143"/>
      <c r="C36" s="143"/>
      <c r="D36" s="143"/>
      <c r="E36" s="143"/>
      <c r="F36" s="143"/>
      <c r="G36" s="143"/>
      <c r="H36" s="143"/>
      <c r="I36" s="143"/>
      <c r="J36" s="143"/>
      <c r="K36" s="144"/>
      <c r="L36" s="144"/>
      <c r="M36" s="144"/>
      <c r="N36" s="144"/>
      <c r="O36" s="144"/>
      <c r="P36" s="144"/>
      <c r="Q36" s="144"/>
      <c r="R36" s="144"/>
      <c r="S36" s="144"/>
      <c r="T36" s="144"/>
      <c r="U36" s="144"/>
    </row>
    <row r="37" spans="1:21" s="8" customFormat="1" ht="18" customHeight="1">
      <c r="A37" s="147" t="s">
        <v>85</v>
      </c>
      <c r="B37" s="147"/>
      <c r="C37" s="147"/>
      <c r="D37" s="147"/>
      <c r="E37" s="147"/>
      <c r="F37" s="147"/>
      <c r="G37" s="147"/>
      <c r="H37" s="147"/>
      <c r="I37" s="147"/>
      <c r="J37" s="147"/>
      <c r="K37" s="144"/>
      <c r="L37" s="144"/>
      <c r="M37" s="144"/>
      <c r="N37" s="144"/>
      <c r="O37" s="144"/>
      <c r="P37" s="144"/>
      <c r="Q37" s="144"/>
      <c r="R37" s="144"/>
      <c r="S37" s="144"/>
      <c r="T37" s="144"/>
      <c r="U37" s="144"/>
    </row>
    <row r="38" spans="1:21" s="8" customFormat="1" ht="15.95" customHeight="1">
      <c r="A38" s="160" t="s">
        <v>87</v>
      </c>
      <c r="B38" s="160"/>
      <c r="C38" s="160"/>
      <c r="D38" s="160"/>
      <c r="E38" s="160"/>
      <c r="F38" s="160"/>
      <c r="G38" s="160"/>
      <c r="H38" s="160"/>
      <c r="I38" s="160"/>
      <c r="J38" s="160"/>
      <c r="K38" s="144"/>
      <c r="L38" s="144"/>
      <c r="M38" s="144"/>
      <c r="N38" s="144"/>
      <c r="O38" s="144"/>
      <c r="P38" s="144"/>
      <c r="Q38" s="144"/>
      <c r="R38" s="144"/>
      <c r="S38" s="144"/>
      <c r="T38" s="144"/>
      <c r="U38" s="144"/>
    </row>
    <row r="39" spans="1:21" s="8" customFormat="1" ht="18" customHeight="1">
      <c r="A39" s="143" t="s">
        <v>95</v>
      </c>
      <c r="B39" s="143"/>
      <c r="C39" s="143"/>
      <c r="D39" s="143"/>
      <c r="E39" s="143"/>
      <c r="F39" s="143"/>
      <c r="G39" s="143"/>
      <c r="H39" s="143"/>
      <c r="I39" s="143"/>
      <c r="J39" s="143"/>
      <c r="K39" s="144"/>
      <c r="L39" s="144"/>
      <c r="M39" s="144"/>
      <c r="N39" s="144"/>
      <c r="O39" s="144"/>
      <c r="P39" s="144"/>
      <c r="Q39" s="144"/>
      <c r="R39" s="144"/>
      <c r="S39" s="144"/>
      <c r="T39" s="144"/>
      <c r="U39" s="144"/>
    </row>
    <row r="40" spans="1:21" s="8" customFormat="1" ht="18" customHeight="1">
      <c r="A40" s="143" t="s">
        <v>86</v>
      </c>
      <c r="B40" s="143"/>
      <c r="C40" s="143"/>
      <c r="D40" s="143"/>
      <c r="E40" s="143"/>
      <c r="F40" s="143"/>
      <c r="G40" s="143"/>
      <c r="H40" s="143"/>
      <c r="I40" s="143"/>
      <c r="J40" s="143"/>
      <c r="K40" s="144"/>
      <c r="L40" s="144"/>
      <c r="M40" s="144"/>
      <c r="N40" s="144"/>
      <c r="O40" s="144"/>
      <c r="P40" s="144"/>
      <c r="Q40" s="144"/>
      <c r="R40" s="144"/>
      <c r="S40" s="144"/>
      <c r="T40" s="144"/>
      <c r="U40" s="144"/>
    </row>
    <row r="41" spans="1:21" s="8" customFormat="1" ht="18" customHeight="1">
      <c r="A41" s="145"/>
      <c r="B41" s="145"/>
      <c r="C41" s="145"/>
      <c r="D41" s="145"/>
      <c r="E41" s="145"/>
      <c r="F41" s="145"/>
      <c r="G41" s="145"/>
      <c r="H41" s="145"/>
      <c r="I41" s="145"/>
      <c r="J41" s="145"/>
      <c r="K41" s="145"/>
      <c r="L41" s="145"/>
      <c r="M41" s="145"/>
      <c r="N41" s="145"/>
      <c r="O41" s="145"/>
      <c r="P41" s="145"/>
      <c r="Q41" s="145"/>
      <c r="R41" s="145"/>
      <c r="S41" s="145"/>
      <c r="T41" s="145"/>
      <c r="U41" s="145"/>
    </row>
    <row r="42" spans="1:21" s="37" customFormat="1" ht="19.5" customHeight="1">
      <c r="A42" s="136" t="s">
        <v>88</v>
      </c>
      <c r="B42" s="136"/>
      <c r="C42" s="136"/>
      <c r="D42" s="136"/>
      <c r="E42" s="136"/>
      <c r="F42" s="136"/>
      <c r="G42" s="136"/>
      <c r="H42" s="136"/>
      <c r="I42" s="136"/>
      <c r="J42" s="136"/>
      <c r="K42" s="136"/>
      <c r="L42" s="136"/>
      <c r="M42" s="136"/>
      <c r="N42" s="136"/>
      <c r="O42" s="136"/>
      <c r="P42" s="136"/>
      <c r="Q42" s="136"/>
      <c r="R42" s="136"/>
      <c r="S42" s="136"/>
      <c r="T42" s="136"/>
      <c r="U42" s="136"/>
    </row>
    <row r="43" spans="1:21" s="8" customFormat="1" ht="20.100000000000001" customHeight="1">
      <c r="A43" s="143" t="s">
        <v>91</v>
      </c>
      <c r="B43" s="143"/>
      <c r="C43" s="143"/>
      <c r="D43" s="143"/>
      <c r="E43" s="143"/>
      <c r="F43" s="143"/>
      <c r="G43" s="143"/>
      <c r="H43" s="143"/>
      <c r="I43" s="143"/>
      <c r="J43" s="143"/>
      <c r="K43" s="144"/>
      <c r="L43" s="144"/>
      <c r="M43" s="144"/>
      <c r="N43" s="144"/>
      <c r="O43" s="144"/>
      <c r="P43" s="144"/>
      <c r="Q43" s="144"/>
      <c r="R43" s="144"/>
      <c r="S43" s="144"/>
      <c r="T43" s="144"/>
      <c r="U43" s="144"/>
    </row>
    <row r="44" spans="1:21" s="8" customFormat="1" ht="18" customHeight="1">
      <c r="A44" s="147" t="s">
        <v>89</v>
      </c>
      <c r="B44" s="147"/>
      <c r="C44" s="147"/>
      <c r="D44" s="147"/>
      <c r="E44" s="147"/>
      <c r="F44" s="147"/>
      <c r="G44" s="147"/>
      <c r="H44" s="147"/>
      <c r="I44" s="147"/>
      <c r="J44" s="147"/>
      <c r="K44" s="144"/>
      <c r="L44" s="144"/>
      <c r="M44" s="144"/>
      <c r="N44" s="144"/>
      <c r="O44" s="144"/>
      <c r="P44" s="144"/>
      <c r="Q44" s="144"/>
      <c r="R44" s="144"/>
      <c r="S44" s="144"/>
      <c r="T44" s="144"/>
      <c r="U44" s="144"/>
    </row>
    <row r="45" spans="1:21" s="8" customFormat="1" ht="15.95" customHeight="1">
      <c r="A45" s="139" t="s">
        <v>90</v>
      </c>
      <c r="B45" s="140"/>
      <c r="C45" s="140"/>
      <c r="D45" s="140"/>
      <c r="E45" s="140"/>
      <c r="F45" s="140"/>
      <c r="G45" s="140"/>
      <c r="H45" s="140"/>
      <c r="I45" s="140"/>
      <c r="J45" s="146"/>
      <c r="K45" s="144"/>
      <c r="L45" s="144"/>
      <c r="M45" s="144"/>
      <c r="N45" s="144"/>
      <c r="O45" s="144"/>
      <c r="P45" s="144"/>
      <c r="Q45" s="144"/>
      <c r="R45" s="144"/>
      <c r="S45" s="144"/>
      <c r="T45" s="144"/>
      <c r="U45" s="144"/>
    </row>
    <row r="46" spans="1:21" s="8" customFormat="1" ht="18" customHeight="1">
      <c r="A46" s="145"/>
      <c r="B46" s="145"/>
      <c r="C46" s="145"/>
      <c r="D46" s="145"/>
      <c r="E46" s="145"/>
      <c r="F46" s="145"/>
      <c r="G46" s="145"/>
      <c r="H46" s="145"/>
      <c r="I46" s="145"/>
      <c r="J46" s="145"/>
      <c r="K46" s="145"/>
      <c r="L46" s="145"/>
      <c r="M46" s="145"/>
      <c r="N46" s="145"/>
      <c r="O46" s="145"/>
      <c r="P46" s="145"/>
      <c r="Q46" s="145"/>
      <c r="R46" s="145"/>
      <c r="S46" s="145"/>
      <c r="T46" s="145"/>
      <c r="U46" s="145"/>
    </row>
    <row r="47" spans="1:21" s="37" customFormat="1" ht="19.5" customHeight="1">
      <c r="A47" s="136" t="s">
        <v>103</v>
      </c>
      <c r="B47" s="136"/>
      <c r="C47" s="136"/>
      <c r="D47" s="136"/>
      <c r="E47" s="136"/>
      <c r="F47" s="136"/>
      <c r="G47" s="136"/>
      <c r="H47" s="136"/>
      <c r="I47" s="136"/>
      <c r="J47" s="136"/>
      <c r="K47" s="136"/>
      <c r="L47" s="136"/>
      <c r="M47" s="136"/>
      <c r="N47" s="136"/>
      <c r="O47" s="136"/>
      <c r="P47" s="136"/>
      <c r="Q47" s="136"/>
      <c r="R47" s="136"/>
      <c r="S47" s="136"/>
      <c r="T47" s="136"/>
      <c r="U47" s="136"/>
    </row>
    <row r="48" spans="1:21" s="8" customFormat="1" ht="15.95" customHeight="1">
      <c r="A48" s="143" t="s">
        <v>92</v>
      </c>
      <c r="B48" s="143"/>
      <c r="C48" s="143"/>
      <c r="D48" s="143"/>
      <c r="E48" s="143"/>
      <c r="F48" s="143"/>
      <c r="G48" s="143"/>
      <c r="H48" s="143"/>
      <c r="I48" s="143"/>
      <c r="J48" s="143"/>
      <c r="K48" s="144"/>
      <c r="L48" s="144"/>
      <c r="M48" s="144"/>
      <c r="N48" s="144"/>
      <c r="O48" s="144"/>
      <c r="P48" s="144"/>
      <c r="Q48" s="144"/>
      <c r="R48" s="144"/>
      <c r="S48" s="144"/>
      <c r="T48" s="144"/>
      <c r="U48" s="144"/>
    </row>
    <row r="49" spans="1:21" s="8" customFormat="1" ht="15.95" customHeight="1">
      <c r="A49" s="143" t="s">
        <v>93</v>
      </c>
      <c r="B49" s="143"/>
      <c r="C49" s="143"/>
      <c r="D49" s="143"/>
      <c r="E49" s="143"/>
      <c r="F49" s="143"/>
      <c r="G49" s="143"/>
      <c r="H49" s="143"/>
      <c r="I49" s="143"/>
      <c r="J49" s="143"/>
      <c r="K49" s="144"/>
      <c r="L49" s="144"/>
      <c r="M49" s="144"/>
      <c r="N49" s="144"/>
      <c r="O49" s="144"/>
      <c r="P49" s="144"/>
      <c r="Q49" s="144"/>
      <c r="R49" s="144"/>
      <c r="S49" s="144"/>
      <c r="T49" s="144"/>
      <c r="U49" s="144"/>
    </row>
    <row r="50" spans="1:21" s="8" customFormat="1" ht="15.95" customHeight="1">
      <c r="A50" s="143" t="s">
        <v>94</v>
      </c>
      <c r="B50" s="143"/>
      <c r="C50" s="143"/>
      <c r="D50" s="143"/>
      <c r="E50" s="143"/>
      <c r="F50" s="143"/>
      <c r="G50" s="143"/>
      <c r="H50" s="143"/>
      <c r="I50" s="143"/>
      <c r="J50" s="143"/>
      <c r="K50" s="144"/>
      <c r="L50" s="144"/>
      <c r="M50" s="144"/>
      <c r="N50" s="144"/>
      <c r="O50" s="144"/>
      <c r="P50" s="144"/>
      <c r="Q50" s="144"/>
      <c r="R50" s="144"/>
      <c r="S50" s="144"/>
      <c r="T50" s="144"/>
      <c r="U50" s="144"/>
    </row>
    <row r="51" spans="1:21" s="8" customFormat="1" ht="15.95" customHeight="1">
      <c r="A51" s="143" t="s">
        <v>111</v>
      </c>
      <c r="B51" s="143"/>
      <c r="C51" s="143"/>
      <c r="D51" s="143"/>
      <c r="E51" s="143"/>
      <c r="F51" s="143"/>
      <c r="G51" s="143"/>
      <c r="H51" s="143"/>
      <c r="I51" s="143"/>
      <c r="J51" s="143"/>
      <c r="K51" s="144"/>
      <c r="L51" s="144"/>
      <c r="M51" s="144"/>
      <c r="N51" s="144"/>
      <c r="O51" s="144"/>
      <c r="P51" s="144"/>
      <c r="Q51" s="144"/>
      <c r="R51" s="144"/>
      <c r="S51" s="144"/>
      <c r="T51" s="144"/>
      <c r="U51" s="144"/>
    </row>
    <row r="52" spans="1:21" s="8" customFormat="1" ht="15.95" customHeight="1">
      <c r="A52" s="143" t="s">
        <v>104</v>
      </c>
      <c r="B52" s="143"/>
      <c r="C52" s="143"/>
      <c r="D52" s="143"/>
      <c r="E52" s="143"/>
      <c r="F52" s="143"/>
      <c r="G52" s="143"/>
      <c r="H52" s="143"/>
      <c r="I52" s="143"/>
      <c r="J52" s="143"/>
      <c r="K52" s="144"/>
      <c r="L52" s="144"/>
      <c r="M52" s="144"/>
      <c r="N52" s="144"/>
      <c r="O52" s="144"/>
      <c r="P52" s="144"/>
      <c r="Q52" s="144"/>
      <c r="R52" s="144"/>
      <c r="S52" s="144"/>
      <c r="T52" s="144"/>
      <c r="U52" s="144"/>
    </row>
    <row r="53" spans="1:21" s="8" customFormat="1" ht="15.95" customHeight="1">
      <c r="A53" s="143" t="s">
        <v>105</v>
      </c>
      <c r="B53" s="143"/>
      <c r="C53" s="143"/>
      <c r="D53" s="143"/>
      <c r="E53" s="143"/>
      <c r="F53" s="143"/>
      <c r="G53" s="143"/>
      <c r="H53" s="143"/>
      <c r="I53" s="143"/>
      <c r="J53" s="143"/>
      <c r="K53" s="144"/>
      <c r="L53" s="144"/>
      <c r="M53" s="144"/>
      <c r="N53" s="144"/>
      <c r="O53" s="144"/>
      <c r="P53" s="144"/>
      <c r="Q53" s="144"/>
      <c r="R53" s="144"/>
      <c r="S53" s="144"/>
      <c r="T53" s="144"/>
      <c r="U53" s="144"/>
    </row>
    <row r="54" spans="1:21" s="8" customFormat="1" ht="15.95" customHeight="1">
      <c r="A54" s="143" t="s">
        <v>106</v>
      </c>
      <c r="B54" s="143"/>
      <c r="C54" s="143"/>
      <c r="D54" s="143"/>
      <c r="E54" s="143"/>
      <c r="F54" s="143"/>
      <c r="G54" s="143"/>
      <c r="H54" s="143"/>
      <c r="I54" s="143"/>
      <c r="J54" s="143"/>
      <c r="K54" s="144"/>
      <c r="L54" s="144"/>
      <c r="M54" s="144"/>
      <c r="N54" s="144"/>
      <c r="O54" s="144"/>
      <c r="P54" s="144"/>
      <c r="Q54" s="144"/>
      <c r="R54" s="144"/>
      <c r="S54" s="144"/>
      <c r="T54" s="144"/>
      <c r="U54" s="144"/>
    </row>
  </sheetData>
  <sheetProtection sheet="1" objects="1" scenarios="1" selectLockedCells="1"/>
  <mergeCells count="87">
    <mergeCell ref="A22:U22"/>
    <mergeCell ref="A31:U31"/>
    <mergeCell ref="A32:U32"/>
    <mergeCell ref="A23:U23"/>
    <mergeCell ref="K40:U40"/>
    <mergeCell ref="A33:J33"/>
    <mergeCell ref="A34:J34"/>
    <mergeCell ref="A35:J35"/>
    <mergeCell ref="A36:J36"/>
    <mergeCell ref="A37:J37"/>
    <mergeCell ref="A38:J38"/>
    <mergeCell ref="K37:U38"/>
    <mergeCell ref="K33:U33"/>
    <mergeCell ref="K34:U34"/>
    <mergeCell ref="K35:U35"/>
    <mergeCell ref="K36:U36"/>
    <mergeCell ref="A3:U3"/>
    <mergeCell ref="A4:U4"/>
    <mergeCell ref="A2:U2"/>
    <mergeCell ref="A5:J5"/>
    <mergeCell ref="A11:U11"/>
    <mergeCell ref="K8:U8"/>
    <mergeCell ref="K9:U9"/>
    <mergeCell ref="K10:U10"/>
    <mergeCell ref="A6:U6"/>
    <mergeCell ref="A7:U7"/>
    <mergeCell ref="A39:J39"/>
    <mergeCell ref="A40:J40"/>
    <mergeCell ref="A45:J45"/>
    <mergeCell ref="A41:U41"/>
    <mergeCell ref="K43:U43"/>
    <mergeCell ref="K44:U45"/>
    <mergeCell ref="K39:U39"/>
    <mergeCell ref="A44:J44"/>
    <mergeCell ref="A48:J48"/>
    <mergeCell ref="A42:U42"/>
    <mergeCell ref="A49:J49"/>
    <mergeCell ref="A46:U46"/>
    <mergeCell ref="A47:U47"/>
    <mergeCell ref="K27:U28"/>
    <mergeCell ref="K29:U29"/>
    <mergeCell ref="A54:J54"/>
    <mergeCell ref="K48:U48"/>
    <mergeCell ref="K49:U49"/>
    <mergeCell ref="K50:U50"/>
    <mergeCell ref="K51:U51"/>
    <mergeCell ref="K52:U52"/>
    <mergeCell ref="K53:U53"/>
    <mergeCell ref="K54:U54"/>
    <mergeCell ref="A50:J50"/>
    <mergeCell ref="A51:J51"/>
    <mergeCell ref="A52:J52"/>
    <mergeCell ref="A30:J30"/>
    <mergeCell ref="A53:J53"/>
    <mergeCell ref="A43:J43"/>
    <mergeCell ref="K30:U30"/>
    <mergeCell ref="A24:J24"/>
    <mergeCell ref="A25:J25"/>
    <mergeCell ref="K19:U19"/>
    <mergeCell ref="K20:U20"/>
    <mergeCell ref="K21:U21"/>
    <mergeCell ref="K24:U24"/>
    <mergeCell ref="K25:U25"/>
    <mergeCell ref="K26:U26"/>
    <mergeCell ref="A19:J19"/>
    <mergeCell ref="A20:J20"/>
    <mergeCell ref="A21:J21"/>
    <mergeCell ref="A29:J29"/>
    <mergeCell ref="A28:J28"/>
    <mergeCell ref="A27:J27"/>
    <mergeCell ref="A26:J26"/>
    <mergeCell ref="A1:U1"/>
    <mergeCell ref="A17:J17"/>
    <mergeCell ref="A18:J18"/>
    <mergeCell ref="K5:U5"/>
    <mergeCell ref="A8:J8"/>
    <mergeCell ref="A9:J9"/>
    <mergeCell ref="A10:J10"/>
    <mergeCell ref="K14:U14"/>
    <mergeCell ref="K15:U15"/>
    <mergeCell ref="A14:J14"/>
    <mergeCell ref="A15:J15"/>
    <mergeCell ref="A16:J16"/>
    <mergeCell ref="A12:U12"/>
    <mergeCell ref="A13:U13"/>
    <mergeCell ref="K16:U16"/>
    <mergeCell ref="K17:U18"/>
  </mergeCells>
  <phoneticPr fontId="8" type="noConversion"/>
  <printOptions horizontalCentered="1"/>
  <pageMargins left="0.5" right="0.5" top="0.5" bottom="0.5" header="0" footer="0"/>
  <pageSetup scale="65" orientation="portrait" r:id="rId1"/>
  <headerFooter alignWithMargins="0">
    <oddFooter>&amp;L&amp;8Go/No-Go v1.0&amp;C&amp;8Page &amp;P of &amp;N&amp;R&amp;8&amp;D &amp;T</oddFooter>
  </headerFooter>
  <drawing r:id="rId2"/>
</worksheet>
</file>

<file path=xl/worksheets/sheet2.xml><?xml version="1.0" encoding="utf-8"?>
<worksheet xmlns="http://schemas.openxmlformats.org/spreadsheetml/2006/main" xmlns:r="http://schemas.openxmlformats.org/officeDocument/2006/relationships">
  <sheetPr codeName="Sheet2"/>
  <dimension ref="A1:U42"/>
  <sheetViews>
    <sheetView showGridLines="0" zoomScaleNormal="100" zoomScaleSheetLayoutView="100" workbookViewId="0">
      <selection activeCell="D4" sqref="D4:J4"/>
    </sheetView>
  </sheetViews>
  <sheetFormatPr defaultRowHeight="12.75"/>
  <cols>
    <col min="1" max="2" width="3.7109375" style="1" customWidth="1"/>
    <col min="3" max="3" width="9.140625" style="1" customWidth="1"/>
    <col min="4" max="4" width="8.140625" style="1" customWidth="1"/>
    <col min="5" max="8" width="3.7109375" style="1" customWidth="1"/>
    <col min="9" max="9" width="27" style="1" customWidth="1"/>
    <col min="10" max="15" width="6.140625" style="1" customWidth="1"/>
    <col min="16" max="16" width="6" style="1" customWidth="1"/>
    <col min="17" max="19" width="6.140625" style="1" customWidth="1"/>
    <col min="20" max="20" width="9.42578125" style="1" customWidth="1"/>
    <col min="21" max="21" width="9.28515625" style="1" customWidth="1"/>
    <col min="22" max="35" width="3.7109375" style="1" customWidth="1"/>
    <col min="36" max="16384" width="9.140625" style="1"/>
  </cols>
  <sheetData>
    <row r="1" spans="1:21" ht="61.5" customHeight="1" thickBot="1">
      <c r="A1" s="152"/>
      <c r="B1" s="153"/>
      <c r="C1" s="153"/>
      <c r="D1" s="153"/>
      <c r="E1" s="153"/>
      <c r="F1" s="153"/>
      <c r="G1" s="153"/>
      <c r="H1" s="153"/>
      <c r="I1" s="153"/>
      <c r="J1" s="153"/>
      <c r="K1" s="153"/>
      <c r="L1" s="153"/>
      <c r="M1" s="153"/>
      <c r="N1" s="153"/>
      <c r="O1" s="153"/>
      <c r="P1" s="153"/>
      <c r="Q1" s="153"/>
      <c r="R1" s="153"/>
      <c r="S1" s="153"/>
      <c r="T1" s="153"/>
      <c r="U1" s="153"/>
    </row>
    <row r="2" spans="1:21" s="8" customFormat="1" ht="22.5" customHeight="1" thickBot="1">
      <c r="A2" s="161" t="s">
        <v>98</v>
      </c>
      <c r="B2" s="162"/>
      <c r="C2" s="162"/>
      <c r="D2" s="162"/>
      <c r="E2" s="162"/>
      <c r="F2" s="162"/>
      <c r="G2" s="162"/>
      <c r="H2" s="162"/>
      <c r="I2" s="162"/>
      <c r="J2" s="162"/>
      <c r="K2" s="162"/>
      <c r="L2" s="162"/>
      <c r="M2" s="162"/>
      <c r="N2" s="162"/>
      <c r="O2" s="162"/>
      <c r="P2" s="162"/>
      <c r="Q2" s="162"/>
      <c r="R2" s="162"/>
      <c r="S2" s="162"/>
      <c r="T2" s="162"/>
      <c r="U2" s="163"/>
    </row>
    <row r="3" spans="1:21" s="37" customFormat="1" ht="20.100000000000001" customHeight="1">
      <c r="A3" s="151" t="s">
        <v>99</v>
      </c>
      <c r="B3" s="151"/>
      <c r="C3" s="151"/>
      <c r="D3" s="151"/>
      <c r="E3" s="151"/>
      <c r="F3" s="151"/>
      <c r="G3" s="151"/>
      <c r="H3" s="151"/>
      <c r="I3" s="151"/>
      <c r="J3" s="151"/>
      <c r="K3" s="151"/>
      <c r="L3" s="151"/>
      <c r="M3" s="151"/>
      <c r="N3" s="151"/>
      <c r="O3" s="151"/>
      <c r="P3" s="151"/>
      <c r="Q3" s="151"/>
      <c r="R3" s="151"/>
      <c r="S3" s="151"/>
      <c r="T3" s="151"/>
      <c r="U3" s="151"/>
    </row>
    <row r="4" spans="1:21" ht="24" customHeight="1">
      <c r="A4" s="164" t="s">
        <v>40</v>
      </c>
      <c r="B4" s="164"/>
      <c r="C4" s="164"/>
      <c r="D4" s="165"/>
      <c r="E4" s="165"/>
      <c r="F4" s="165"/>
      <c r="G4" s="165"/>
      <c r="H4" s="165"/>
      <c r="I4" s="165"/>
      <c r="J4" s="165"/>
      <c r="K4" s="40"/>
      <c r="L4" s="166" t="s">
        <v>41</v>
      </c>
      <c r="M4" s="166"/>
      <c r="N4" s="166"/>
      <c r="O4" s="167"/>
      <c r="P4" s="167"/>
      <c r="Q4" s="167"/>
      <c r="R4" s="167"/>
      <c r="S4" s="167"/>
      <c r="T4" s="167"/>
      <c r="U4" s="167"/>
    </row>
    <row r="5" spans="1:21" ht="17.25" customHeight="1">
      <c r="A5" s="168" t="s">
        <v>30</v>
      </c>
      <c r="B5" s="169"/>
      <c r="C5" s="169"/>
      <c r="D5" s="170"/>
      <c r="E5" s="170"/>
      <c r="F5" s="170"/>
      <c r="G5" s="170"/>
      <c r="H5" s="170"/>
      <c r="I5" s="170"/>
      <c r="J5" s="170"/>
      <c r="K5" s="40"/>
      <c r="L5" s="171" t="s">
        <v>28</v>
      </c>
      <c r="M5" s="171"/>
      <c r="N5" s="171"/>
      <c r="O5" s="172"/>
      <c r="P5" s="173"/>
      <c r="Q5" s="173"/>
      <c r="R5" s="173"/>
      <c r="S5" s="173"/>
      <c r="T5" s="173"/>
      <c r="U5" s="173"/>
    </row>
    <row r="6" spans="1:21" ht="17.25" customHeight="1">
      <c r="A6" s="174" t="s">
        <v>29</v>
      </c>
      <c r="B6" s="174"/>
      <c r="C6" s="174"/>
      <c r="D6" s="175"/>
      <c r="E6" s="170"/>
      <c r="F6" s="170"/>
      <c r="G6" s="170"/>
      <c r="H6" s="170"/>
      <c r="I6" s="170"/>
      <c r="J6" s="170"/>
      <c r="K6" s="40"/>
      <c r="L6" s="176" t="s">
        <v>182</v>
      </c>
      <c r="M6" s="176"/>
      <c r="N6" s="176"/>
      <c r="O6" s="71"/>
      <c r="P6" s="71"/>
      <c r="Q6" s="71"/>
      <c r="R6" s="71"/>
      <c r="S6"/>
      <c r="T6"/>
      <c r="U6"/>
    </row>
    <row r="7" spans="1:21" ht="17.25" customHeight="1">
      <c r="A7" s="2" t="s">
        <v>42</v>
      </c>
      <c r="C7" s="38"/>
      <c r="D7" s="175"/>
      <c r="E7" s="170"/>
      <c r="F7" s="170"/>
      <c r="G7" s="170"/>
      <c r="H7" s="170"/>
      <c r="I7" s="170"/>
      <c r="J7" s="170"/>
      <c r="K7" s="40"/>
      <c r="L7" s="164" t="s">
        <v>56</v>
      </c>
      <c r="M7" s="177"/>
      <c r="N7" s="177"/>
      <c r="O7" s="178"/>
      <c r="P7" s="167"/>
      <c r="Q7" s="167"/>
      <c r="R7" s="167"/>
      <c r="S7" s="167"/>
      <c r="T7" s="167"/>
      <c r="U7" s="167"/>
    </row>
    <row r="8" spans="1:21" ht="17.25" customHeight="1">
      <c r="A8" s="171" t="s">
        <v>47</v>
      </c>
      <c r="B8" s="171"/>
      <c r="C8" s="171"/>
      <c r="D8" s="166"/>
      <c r="E8" s="170"/>
      <c r="F8" s="170"/>
      <c r="G8" s="170"/>
      <c r="H8" s="170"/>
      <c r="I8" s="170"/>
      <c r="J8" s="170"/>
      <c r="K8" s="40"/>
      <c r="L8" s="57" t="s">
        <v>31</v>
      </c>
      <c r="N8" s="39"/>
      <c r="O8" s="178"/>
      <c r="P8" s="167"/>
      <c r="Q8" s="167"/>
      <c r="R8" s="167"/>
      <c r="S8" s="167"/>
      <c r="T8" s="167"/>
      <c r="U8" s="167"/>
    </row>
    <row r="9" spans="1:21" ht="17.25" customHeight="1">
      <c r="A9" s="179" t="s">
        <v>45</v>
      </c>
      <c r="B9" s="180"/>
      <c r="C9" s="180"/>
      <c r="D9" s="180"/>
      <c r="E9" s="175"/>
      <c r="F9" s="170"/>
      <c r="G9" s="170"/>
      <c r="H9" s="170"/>
      <c r="I9" s="170"/>
      <c r="J9" s="170"/>
      <c r="K9" s="41"/>
      <c r="L9" s="171" t="s">
        <v>55</v>
      </c>
      <c r="M9" s="166"/>
      <c r="N9" s="166"/>
      <c r="O9" s="167"/>
      <c r="P9" s="167"/>
      <c r="Q9" s="167"/>
      <c r="R9" s="167"/>
      <c r="S9" s="167"/>
      <c r="T9" s="167"/>
      <c r="U9" s="167"/>
    </row>
    <row r="10" spans="1:21" ht="17.25" customHeight="1">
      <c r="A10" s="181" t="s">
        <v>57</v>
      </c>
      <c r="B10" s="182"/>
      <c r="C10" s="182"/>
      <c r="D10" s="182"/>
      <c r="E10" s="170"/>
      <c r="F10" s="170"/>
      <c r="G10" s="170"/>
      <c r="H10" s="170"/>
      <c r="I10" s="170"/>
      <c r="J10" s="170"/>
      <c r="K10" s="38"/>
      <c r="L10" s="183" t="s">
        <v>33</v>
      </c>
      <c r="M10" s="184"/>
      <c r="N10" s="184"/>
      <c r="O10" s="185"/>
      <c r="P10" s="185"/>
      <c r="Q10" s="185"/>
      <c r="R10" s="185"/>
      <c r="S10" s="185"/>
      <c r="T10" s="185"/>
      <c r="U10" s="185"/>
    </row>
    <row r="11" spans="1:21" ht="17.25" customHeight="1">
      <c r="A11" s="179" t="s">
        <v>44</v>
      </c>
      <c r="B11" s="180"/>
      <c r="C11" s="180"/>
      <c r="D11" s="180"/>
      <c r="E11" s="170"/>
      <c r="F11" s="170"/>
      <c r="G11" s="170"/>
      <c r="H11" s="170"/>
      <c r="I11" s="170"/>
      <c r="J11" s="170"/>
      <c r="K11" s="42"/>
      <c r="L11" s="70" t="s">
        <v>43</v>
      </c>
      <c r="O11" s="185"/>
      <c r="P11" s="185"/>
      <c r="Q11" s="185"/>
      <c r="R11" s="185"/>
      <c r="S11" s="185"/>
      <c r="T11" s="185"/>
      <c r="U11" s="185"/>
    </row>
    <row r="12" spans="1:21" ht="17.25" customHeight="1">
      <c r="A12" s="179" t="s">
        <v>58</v>
      </c>
      <c r="B12" s="169"/>
      <c r="C12" s="169"/>
      <c r="D12" s="169"/>
      <c r="E12" s="186"/>
      <c r="F12" s="186"/>
      <c r="G12" s="186"/>
      <c r="H12" s="186"/>
      <c r="I12" s="186"/>
      <c r="J12" s="186"/>
      <c r="K12" s="42"/>
      <c r="L12" s="183" t="s">
        <v>33</v>
      </c>
      <c r="M12" s="184"/>
      <c r="N12" s="184"/>
      <c r="O12" s="185"/>
      <c r="P12" s="185"/>
      <c r="Q12" s="185"/>
      <c r="R12" s="185"/>
      <c r="S12" s="185"/>
      <c r="T12" s="185"/>
      <c r="U12" s="185"/>
    </row>
    <row r="13" spans="1:21" ht="17.25" customHeight="1">
      <c r="A13" s="179" t="s">
        <v>59</v>
      </c>
      <c r="B13" s="169"/>
      <c r="C13" s="169"/>
      <c r="D13" s="169"/>
      <c r="E13" s="186"/>
      <c r="F13" s="187"/>
      <c r="G13" s="187"/>
      <c r="H13" s="187"/>
      <c r="I13" s="187"/>
      <c r="J13" s="187"/>
      <c r="K13" s="43"/>
      <c r="L13" s="183" t="s">
        <v>32</v>
      </c>
      <c r="M13" s="184"/>
      <c r="N13" s="184"/>
      <c r="O13" s="185"/>
      <c r="P13" s="185"/>
      <c r="Q13" s="185"/>
      <c r="R13" s="185"/>
      <c r="S13" s="185"/>
      <c r="T13" s="185"/>
      <c r="U13" s="185"/>
    </row>
    <row r="14" spans="1:21" ht="20.100000000000001" customHeight="1">
      <c r="A14" s="182"/>
      <c r="B14" s="182"/>
      <c r="C14" s="182"/>
      <c r="D14" s="182"/>
      <c r="E14" s="188"/>
      <c r="F14" s="189"/>
      <c r="G14" s="189"/>
      <c r="H14" s="189"/>
      <c r="I14" s="189"/>
      <c r="J14" s="189"/>
      <c r="K14" s="44"/>
      <c r="L14" s="190"/>
      <c r="M14" s="191"/>
      <c r="N14" s="191"/>
      <c r="O14" s="188"/>
      <c r="P14" s="192"/>
      <c r="Q14" s="192"/>
      <c r="R14" s="192"/>
      <c r="S14" s="192"/>
      <c r="T14" s="192"/>
      <c r="U14" s="192"/>
    </row>
    <row r="15" spans="1:21" ht="20.100000000000001" customHeight="1">
      <c r="A15" s="193" t="s">
        <v>46</v>
      </c>
      <c r="B15" s="194"/>
      <c r="C15" s="194"/>
      <c r="D15" s="194"/>
      <c r="E15" s="195"/>
      <c r="F15" s="196"/>
      <c r="G15" s="196"/>
      <c r="H15" s="196"/>
      <c r="I15" s="196"/>
      <c r="J15" s="196"/>
      <c r="K15" s="196"/>
      <c r="L15" s="196"/>
      <c r="M15" s="196"/>
      <c r="N15" s="196"/>
      <c r="O15" s="196"/>
      <c r="P15" s="196"/>
      <c r="Q15" s="196"/>
      <c r="R15" s="196"/>
      <c r="S15" s="196"/>
      <c r="T15" s="196"/>
      <c r="U15" s="196"/>
    </row>
    <row r="16" spans="1:21" ht="15" customHeight="1">
      <c r="A16" s="197"/>
      <c r="B16" s="198"/>
      <c r="C16" s="198"/>
      <c r="D16" s="198"/>
      <c r="E16" s="198"/>
      <c r="F16" s="198"/>
      <c r="G16" s="198"/>
      <c r="H16" s="198"/>
      <c r="I16" s="198"/>
      <c r="J16" s="198"/>
      <c r="K16" s="198"/>
      <c r="L16" s="198"/>
      <c r="M16" s="198"/>
      <c r="N16" s="198"/>
      <c r="O16" s="198"/>
      <c r="P16" s="198"/>
      <c r="Q16" s="198"/>
      <c r="R16" s="198"/>
      <c r="S16" s="198"/>
      <c r="T16" s="198"/>
      <c r="U16" s="198"/>
    </row>
    <row r="17" spans="1:21" ht="9.9499999999999993" customHeight="1">
      <c r="A17" s="199" t="s">
        <v>20</v>
      </c>
      <c r="B17" s="200"/>
      <c r="C17" s="200"/>
      <c r="D17" s="200"/>
      <c r="E17" s="200"/>
      <c r="F17" s="200"/>
      <c r="G17" s="200"/>
      <c r="H17" s="200"/>
      <c r="I17" s="200"/>
      <c r="J17" s="58"/>
      <c r="K17" s="59"/>
      <c r="L17" s="202" t="s">
        <v>51</v>
      </c>
      <c r="M17" s="203"/>
      <c r="N17" s="203"/>
      <c r="O17" s="203"/>
      <c r="P17" s="203"/>
      <c r="Q17" s="203"/>
      <c r="R17" s="203"/>
      <c r="S17" s="203"/>
      <c r="T17" s="204"/>
      <c r="U17" s="208" t="s">
        <v>36</v>
      </c>
    </row>
    <row r="18" spans="1:21" ht="9.9499999999999993" customHeight="1">
      <c r="A18" s="201"/>
      <c r="B18" s="201"/>
      <c r="C18" s="201"/>
      <c r="D18" s="201"/>
      <c r="E18" s="201"/>
      <c r="F18" s="201"/>
      <c r="G18" s="201"/>
      <c r="H18" s="201"/>
      <c r="I18" s="201"/>
      <c r="J18" s="60" t="s">
        <v>34</v>
      </c>
      <c r="K18" s="61" t="s">
        <v>35</v>
      </c>
      <c r="L18" s="205"/>
      <c r="M18" s="206"/>
      <c r="N18" s="206"/>
      <c r="O18" s="206"/>
      <c r="P18" s="206"/>
      <c r="Q18" s="206"/>
      <c r="R18" s="206"/>
      <c r="S18" s="206"/>
      <c r="T18" s="207"/>
      <c r="U18" s="209"/>
    </row>
    <row r="19" spans="1:21" ht="20.25" customHeight="1">
      <c r="A19" s="11" t="s">
        <v>21</v>
      </c>
      <c r="B19" s="210" t="s">
        <v>48</v>
      </c>
      <c r="C19" s="210"/>
      <c r="D19" s="210"/>
      <c r="E19" s="210"/>
      <c r="F19" s="210"/>
      <c r="G19" s="210"/>
      <c r="H19" s="210"/>
      <c r="I19" s="211"/>
      <c r="J19" s="32"/>
      <c r="K19" s="33"/>
      <c r="L19" s="212"/>
      <c r="M19" s="213"/>
      <c r="N19" s="213"/>
      <c r="O19" s="213"/>
      <c r="P19" s="213"/>
      <c r="Q19" s="213"/>
      <c r="R19" s="213"/>
      <c r="S19" s="213"/>
      <c r="T19" s="214"/>
      <c r="U19" s="45">
        <v>0</v>
      </c>
    </row>
    <row r="20" spans="1:21" ht="20.25" customHeight="1">
      <c r="A20" s="10"/>
      <c r="B20" s="221" t="s">
        <v>49</v>
      </c>
      <c r="C20" s="221"/>
      <c r="D20" s="221"/>
      <c r="E20" s="221"/>
      <c r="F20" s="221"/>
      <c r="G20" s="221"/>
      <c r="H20" s="221"/>
      <c r="I20" s="222"/>
      <c r="J20" s="35"/>
      <c r="K20" s="36"/>
      <c r="L20" s="218"/>
      <c r="M20" s="219"/>
      <c r="N20" s="219"/>
      <c r="O20" s="219"/>
      <c r="P20" s="219"/>
      <c r="Q20" s="219"/>
      <c r="R20" s="219"/>
      <c r="S20" s="219"/>
      <c r="T20" s="220"/>
      <c r="U20" s="45">
        <v>0</v>
      </c>
    </row>
    <row r="21" spans="1:21" ht="20.25" customHeight="1">
      <c r="A21" s="12" t="s">
        <v>21</v>
      </c>
      <c r="B21" s="223" t="s">
        <v>50</v>
      </c>
      <c r="C21" s="223"/>
      <c r="D21" s="223"/>
      <c r="E21" s="223"/>
      <c r="F21" s="223"/>
      <c r="G21" s="223"/>
      <c r="H21" s="223"/>
      <c r="I21" s="224"/>
      <c r="J21" s="16"/>
      <c r="K21" s="34"/>
      <c r="L21" s="225"/>
      <c r="M21" s="226"/>
      <c r="N21" s="226"/>
      <c r="O21" s="226"/>
      <c r="P21" s="226"/>
      <c r="Q21" s="226"/>
      <c r="R21" s="226"/>
      <c r="S21" s="226"/>
      <c r="T21" s="227"/>
      <c r="U21" s="45">
        <v>0</v>
      </c>
    </row>
    <row r="22" spans="1:21" ht="15" customHeight="1">
      <c r="A22" s="228" t="str">
        <f>"75 Points Maximum         TOTAL:  "</f>
        <v xml:space="preserve">75 Points Maximum         TOTAL:  </v>
      </c>
      <c r="B22" s="228"/>
      <c r="C22" s="228"/>
      <c r="D22" s="228"/>
      <c r="E22" s="228"/>
      <c r="F22" s="228"/>
      <c r="G22" s="228"/>
      <c r="H22" s="228"/>
      <c r="I22" s="228"/>
      <c r="J22" s="228"/>
      <c r="K22" s="228"/>
      <c r="L22" s="228"/>
      <c r="M22" s="228"/>
      <c r="N22" s="228"/>
      <c r="O22" s="228"/>
      <c r="P22" s="228"/>
      <c r="Q22" s="228"/>
      <c r="R22" s="228"/>
      <c r="S22" s="228"/>
      <c r="T22" s="229"/>
      <c r="U22" s="62">
        <f>SUM(U19:U21)</f>
        <v>0</v>
      </c>
    </row>
    <row r="23" spans="1:21" ht="15" customHeight="1">
      <c r="A23" s="230"/>
      <c r="B23" s="231"/>
      <c r="C23" s="231"/>
      <c r="D23" s="231"/>
      <c r="E23" s="231"/>
      <c r="F23" s="231"/>
      <c r="G23" s="231"/>
      <c r="H23" s="231"/>
      <c r="I23" s="231"/>
      <c r="J23" s="231"/>
      <c r="K23" s="231"/>
      <c r="L23" s="231"/>
      <c r="M23" s="231"/>
      <c r="N23" s="231"/>
      <c r="O23" s="231"/>
      <c r="P23" s="231"/>
      <c r="Q23" s="231"/>
      <c r="R23" s="231"/>
      <c r="S23" s="231"/>
      <c r="T23" s="231"/>
      <c r="U23" s="231"/>
    </row>
    <row r="24" spans="1:21" s="9" customFormat="1" ht="9.9499999999999993" customHeight="1">
      <c r="A24" s="232" t="s">
        <v>19</v>
      </c>
      <c r="B24" s="199"/>
      <c r="C24" s="199"/>
      <c r="D24" s="199"/>
      <c r="E24" s="199"/>
      <c r="F24" s="199"/>
      <c r="G24" s="199"/>
      <c r="H24" s="199"/>
      <c r="I24" s="233"/>
      <c r="J24" s="63"/>
      <c r="K24" s="64"/>
      <c r="L24" s="64"/>
      <c r="M24" s="64"/>
      <c r="N24" s="65"/>
      <c r="O24" s="202" t="s">
        <v>51</v>
      </c>
      <c r="P24" s="203"/>
      <c r="Q24" s="203"/>
      <c r="R24" s="203"/>
      <c r="S24" s="203"/>
      <c r="T24" s="204"/>
      <c r="U24" s="208" t="s">
        <v>36</v>
      </c>
    </row>
    <row r="25" spans="1:21" s="24" customFormat="1" ht="9.9499999999999993" customHeight="1">
      <c r="A25" s="234"/>
      <c r="B25" s="235"/>
      <c r="C25" s="235"/>
      <c r="D25" s="235"/>
      <c r="E25" s="235"/>
      <c r="F25" s="235"/>
      <c r="G25" s="235"/>
      <c r="H25" s="235"/>
      <c r="I25" s="236"/>
      <c r="J25" s="66">
        <v>1</v>
      </c>
      <c r="K25" s="67">
        <v>2</v>
      </c>
      <c r="L25" s="67">
        <v>3</v>
      </c>
      <c r="M25" s="67">
        <v>4</v>
      </c>
      <c r="N25" s="68">
        <v>5</v>
      </c>
      <c r="O25" s="205"/>
      <c r="P25" s="206"/>
      <c r="Q25" s="206"/>
      <c r="R25" s="206"/>
      <c r="S25" s="206"/>
      <c r="T25" s="207"/>
      <c r="U25" s="209"/>
    </row>
    <row r="26" spans="1:21" ht="20.25" customHeight="1">
      <c r="A26" s="31" t="s">
        <v>21</v>
      </c>
      <c r="B26" s="237" t="s">
        <v>60</v>
      </c>
      <c r="C26" s="237"/>
      <c r="D26" s="237"/>
      <c r="E26" s="237"/>
      <c r="F26" s="237"/>
      <c r="G26" s="237"/>
      <c r="H26" s="237"/>
      <c r="I26" s="238"/>
      <c r="J26" s="21"/>
      <c r="K26" s="115"/>
      <c r="L26" s="114"/>
      <c r="M26" s="22"/>
      <c r="N26" s="23"/>
      <c r="O26" s="239"/>
      <c r="P26" s="213"/>
      <c r="Q26" s="213"/>
      <c r="R26" s="213"/>
      <c r="S26" s="213"/>
      <c r="T26" s="214"/>
      <c r="U26" s="46">
        <v>0</v>
      </c>
    </row>
    <row r="27" spans="1:21" ht="20.25" customHeight="1">
      <c r="A27" s="31" t="s">
        <v>21</v>
      </c>
      <c r="B27" s="215" t="s">
        <v>61</v>
      </c>
      <c r="C27" s="216"/>
      <c r="D27" s="216"/>
      <c r="E27" s="216"/>
      <c r="F27" s="216"/>
      <c r="G27" s="216"/>
      <c r="H27" s="216"/>
      <c r="I27" s="217"/>
      <c r="J27" s="17"/>
      <c r="K27" s="20"/>
      <c r="L27" s="19"/>
      <c r="M27" s="20"/>
      <c r="N27" s="18"/>
      <c r="O27" s="218"/>
      <c r="P27" s="219"/>
      <c r="Q27" s="219"/>
      <c r="R27" s="219"/>
      <c r="S27" s="219"/>
      <c r="T27" s="220"/>
      <c r="U27" s="46">
        <v>0</v>
      </c>
    </row>
    <row r="28" spans="1:21" ht="20.25" customHeight="1">
      <c r="A28" s="31" t="s">
        <v>21</v>
      </c>
      <c r="B28" s="215" t="s">
        <v>62</v>
      </c>
      <c r="C28" s="216"/>
      <c r="D28" s="216"/>
      <c r="E28" s="216"/>
      <c r="F28" s="216"/>
      <c r="G28" s="216"/>
      <c r="H28" s="216"/>
      <c r="I28" s="217"/>
      <c r="J28" s="17"/>
      <c r="K28" s="20"/>
      <c r="L28" s="19"/>
      <c r="M28" s="20"/>
      <c r="N28" s="18"/>
      <c r="O28" s="218"/>
      <c r="P28" s="219"/>
      <c r="Q28" s="219"/>
      <c r="R28" s="219"/>
      <c r="S28" s="219"/>
      <c r="T28" s="220"/>
      <c r="U28" s="46">
        <v>0</v>
      </c>
    </row>
    <row r="29" spans="1:21" ht="20.25" customHeight="1">
      <c r="A29" s="31" t="s">
        <v>21</v>
      </c>
      <c r="B29" s="215" t="s">
        <v>64</v>
      </c>
      <c r="C29" s="216"/>
      <c r="D29" s="216"/>
      <c r="E29" s="216"/>
      <c r="F29" s="216"/>
      <c r="G29" s="216"/>
      <c r="H29" s="216"/>
      <c r="I29" s="217"/>
      <c r="J29" s="17"/>
      <c r="K29" s="20"/>
      <c r="L29" s="19"/>
      <c r="M29" s="20"/>
      <c r="N29" s="18"/>
      <c r="O29" s="218"/>
      <c r="P29" s="219"/>
      <c r="Q29" s="219"/>
      <c r="R29" s="219"/>
      <c r="S29" s="219"/>
      <c r="T29" s="220"/>
      <c r="U29" s="46">
        <v>0</v>
      </c>
    </row>
    <row r="30" spans="1:21" ht="20.25" customHeight="1">
      <c r="A30" s="31" t="s">
        <v>21</v>
      </c>
      <c r="B30" s="215" t="s">
        <v>63</v>
      </c>
      <c r="C30" s="216"/>
      <c r="D30" s="216"/>
      <c r="E30" s="216"/>
      <c r="F30" s="216"/>
      <c r="G30" s="216"/>
      <c r="H30" s="216"/>
      <c r="I30" s="217"/>
      <c r="J30" s="17"/>
      <c r="K30" s="116"/>
      <c r="L30" s="19"/>
      <c r="M30" s="20"/>
      <c r="N30" s="30"/>
      <c r="O30" s="225"/>
      <c r="P30" s="226"/>
      <c r="Q30" s="226"/>
      <c r="R30" s="226"/>
      <c r="S30" s="226"/>
      <c r="T30" s="227"/>
      <c r="U30" s="46">
        <v>0</v>
      </c>
    </row>
    <row r="31" spans="1:21" ht="14.25" customHeight="1">
      <c r="A31" s="228" t="s">
        <v>37</v>
      </c>
      <c r="B31" s="228"/>
      <c r="C31" s="228"/>
      <c r="D31" s="228"/>
      <c r="E31" s="228"/>
      <c r="F31" s="228"/>
      <c r="G31" s="228"/>
      <c r="H31" s="228"/>
      <c r="I31" s="228"/>
      <c r="J31" s="228"/>
      <c r="K31" s="228"/>
      <c r="L31" s="228"/>
      <c r="M31" s="228"/>
      <c r="N31" s="228"/>
      <c r="O31" s="228"/>
      <c r="P31" s="228"/>
      <c r="Q31" s="228"/>
      <c r="R31" s="228"/>
      <c r="S31" s="228"/>
      <c r="T31" s="229"/>
      <c r="U31" s="62">
        <f>SUM(U26:U30)</f>
        <v>0</v>
      </c>
    </row>
    <row r="32" spans="1:21" ht="15" customHeight="1" thickBot="1">
      <c r="A32" s="153"/>
      <c r="B32" s="153"/>
      <c r="C32" s="153"/>
      <c r="D32" s="153"/>
      <c r="E32" s="153"/>
      <c r="F32" s="153"/>
      <c r="G32" s="153"/>
      <c r="H32" s="153"/>
      <c r="I32" s="153"/>
      <c r="J32" s="153"/>
      <c r="K32" s="153"/>
      <c r="L32" s="153"/>
      <c r="M32" s="153"/>
      <c r="N32" s="153"/>
      <c r="O32" s="153"/>
      <c r="P32" s="153"/>
      <c r="Q32" s="153"/>
      <c r="R32" s="153"/>
      <c r="S32" s="153"/>
      <c r="T32" s="153"/>
      <c r="U32" s="153"/>
    </row>
    <row r="33" spans="1:21" ht="24" customHeight="1" thickBot="1">
      <c r="A33" s="242" t="s">
        <v>53</v>
      </c>
      <c r="B33" s="243"/>
      <c r="C33" s="243"/>
      <c r="D33" s="243"/>
      <c r="E33" s="243"/>
      <c r="F33" s="243"/>
      <c r="G33" s="243"/>
      <c r="H33" s="243"/>
      <c r="I33" s="243"/>
      <c r="J33" s="243"/>
      <c r="K33" s="243"/>
      <c r="L33" s="243"/>
      <c r="M33" s="243"/>
      <c r="N33" s="243"/>
      <c r="O33" s="243"/>
      <c r="P33" s="243"/>
      <c r="Q33" s="243"/>
      <c r="R33" s="243"/>
      <c r="S33" s="243"/>
      <c r="T33" s="243"/>
      <c r="U33" s="244"/>
    </row>
    <row r="34" spans="1:21" ht="236.25" customHeight="1">
      <c r="A34" s="240"/>
      <c r="B34" s="240"/>
      <c r="C34" s="240"/>
      <c r="D34" s="240"/>
      <c r="E34" s="240"/>
      <c r="F34" s="240"/>
      <c r="G34" s="240"/>
      <c r="H34" s="240"/>
      <c r="I34" s="240"/>
      <c r="J34" s="240"/>
      <c r="K34" s="240"/>
      <c r="L34" s="240"/>
      <c r="M34" s="241"/>
      <c r="N34" s="241"/>
      <c r="O34" s="241"/>
      <c r="P34" s="241"/>
      <c r="Q34" s="241"/>
      <c r="R34" s="241"/>
      <c r="S34" s="241"/>
      <c r="T34" s="241"/>
      <c r="U34" s="241"/>
    </row>
    <row r="35" spans="1:21" ht="15" customHeight="1">
      <c r="A35" s="25"/>
      <c r="B35" s="4"/>
      <c r="C35" s="4"/>
      <c r="D35" s="25"/>
      <c r="E35" s="25"/>
      <c r="F35" s="25"/>
      <c r="G35" s="25"/>
      <c r="H35" s="25"/>
      <c r="I35" s="25"/>
      <c r="J35" s="26"/>
      <c r="K35" s="4"/>
      <c r="L35" s="4"/>
      <c r="M35" s="13"/>
      <c r="N35" s="3"/>
    </row>
    <row r="36" spans="1:21" ht="15" customHeight="1">
      <c r="A36" s="26"/>
      <c r="B36" s="4"/>
      <c r="C36" s="4"/>
      <c r="D36" s="4"/>
      <c r="E36" s="27"/>
      <c r="F36" s="27"/>
      <c r="G36" s="27"/>
      <c r="H36" s="27"/>
      <c r="I36" s="27"/>
      <c r="J36" s="26"/>
      <c r="K36" s="4"/>
      <c r="L36" s="4"/>
      <c r="M36" s="15"/>
      <c r="N36" s="3"/>
    </row>
    <row r="37" spans="1:21" ht="15" customHeight="1">
      <c r="A37" s="28"/>
      <c r="B37" s="4"/>
      <c r="C37" s="4"/>
      <c r="D37" s="4"/>
      <c r="E37" s="4"/>
      <c r="F37" s="4"/>
      <c r="G37" s="4"/>
      <c r="H37" s="4"/>
      <c r="I37" s="4"/>
      <c r="J37" s="4"/>
      <c r="K37" s="4"/>
      <c r="L37" s="4"/>
      <c r="M37" s="4"/>
      <c r="N37" s="3"/>
    </row>
    <row r="38" spans="1:21" ht="15" customHeight="1">
      <c r="A38" s="25"/>
      <c r="B38" s="4"/>
      <c r="C38" s="4"/>
      <c r="D38" s="25"/>
      <c r="E38" s="25"/>
      <c r="F38" s="25"/>
      <c r="G38" s="25"/>
      <c r="H38" s="25"/>
      <c r="I38" s="25"/>
      <c r="J38" s="26"/>
      <c r="K38" s="4"/>
      <c r="L38" s="4"/>
      <c r="M38" s="13"/>
      <c r="N38" s="3"/>
    </row>
    <row r="39" spans="1:21" ht="15" customHeight="1">
      <c r="A39" s="26"/>
      <c r="B39" s="4"/>
      <c r="C39" s="4"/>
      <c r="D39" s="4"/>
      <c r="E39" s="27"/>
      <c r="F39" s="27"/>
      <c r="G39" s="27"/>
      <c r="H39" s="27"/>
      <c r="I39" s="27"/>
      <c r="J39" s="26"/>
      <c r="K39" s="4"/>
      <c r="L39" s="4"/>
      <c r="M39" s="15"/>
      <c r="N39" s="3"/>
    </row>
    <row r="40" spans="1:21" ht="15" customHeight="1">
      <c r="A40" s="28"/>
      <c r="B40" s="4"/>
      <c r="C40" s="4"/>
      <c r="D40" s="4"/>
      <c r="E40" s="4"/>
      <c r="F40" s="4"/>
      <c r="G40" s="4"/>
      <c r="H40" s="4"/>
      <c r="I40" s="4"/>
      <c r="J40" s="4"/>
      <c r="K40" s="4"/>
      <c r="L40" s="4"/>
      <c r="M40" s="4"/>
      <c r="N40" s="3"/>
    </row>
    <row r="41" spans="1:21" ht="15" customHeight="1">
      <c r="A41" s="25"/>
      <c r="B41" s="4"/>
      <c r="C41" s="4"/>
      <c r="D41" s="25"/>
      <c r="E41" s="29"/>
      <c r="F41" s="29"/>
      <c r="G41" s="29"/>
      <c r="H41" s="29"/>
      <c r="I41" s="29"/>
      <c r="J41" s="26"/>
      <c r="K41" s="14"/>
      <c r="L41" s="14"/>
      <c r="M41" s="7"/>
      <c r="N41" s="3"/>
    </row>
    <row r="42" spans="1:21" ht="15" customHeight="1">
      <c r="A42" s="26"/>
      <c r="B42" s="4"/>
      <c r="C42" s="4"/>
      <c r="D42" s="4"/>
      <c r="E42" s="27"/>
      <c r="F42" s="27"/>
      <c r="G42" s="27"/>
      <c r="H42" s="27"/>
      <c r="I42" s="27"/>
      <c r="J42" s="26"/>
      <c r="K42" s="4"/>
      <c r="L42" s="4"/>
      <c r="M42" s="13"/>
      <c r="N42" s="3"/>
      <c r="O42" s="5"/>
      <c r="P42" s="6"/>
      <c r="Q42" s="6"/>
      <c r="R42" s="6"/>
      <c r="S42" s="5"/>
      <c r="T42" s="6"/>
      <c r="U42" s="6"/>
    </row>
  </sheetData>
  <sheetProtection sheet="1" objects="1" scenarios="1" selectLockedCells="1"/>
  <mergeCells count="74">
    <mergeCell ref="A34:U34"/>
    <mergeCell ref="A31:T31"/>
    <mergeCell ref="A32:U32"/>
    <mergeCell ref="A33:U33"/>
    <mergeCell ref="B28:I28"/>
    <mergeCell ref="O28:T28"/>
    <mergeCell ref="B29:I29"/>
    <mergeCell ref="O29:T29"/>
    <mergeCell ref="B30:I30"/>
    <mergeCell ref="O30:T30"/>
    <mergeCell ref="B19:I19"/>
    <mergeCell ref="L19:T19"/>
    <mergeCell ref="B27:I27"/>
    <mergeCell ref="O27:T27"/>
    <mergeCell ref="B20:I20"/>
    <mergeCell ref="L20:T20"/>
    <mergeCell ref="B21:I21"/>
    <mergeCell ref="L21:T21"/>
    <mergeCell ref="A22:T22"/>
    <mergeCell ref="A23:U23"/>
    <mergeCell ref="A24:I25"/>
    <mergeCell ref="O24:T25"/>
    <mergeCell ref="U24:U25"/>
    <mergeCell ref="B26:I26"/>
    <mergeCell ref="O26:T26"/>
    <mergeCell ref="A15:D15"/>
    <mergeCell ref="E15:U15"/>
    <mergeCell ref="A16:U16"/>
    <mergeCell ref="A17:I18"/>
    <mergeCell ref="L17:T18"/>
    <mergeCell ref="U17:U18"/>
    <mergeCell ref="A13:D13"/>
    <mergeCell ref="E13:J13"/>
    <mergeCell ref="L13:N13"/>
    <mergeCell ref="O13:U13"/>
    <mergeCell ref="A14:D14"/>
    <mergeCell ref="E14:J14"/>
    <mergeCell ref="L14:N14"/>
    <mergeCell ref="O14:U14"/>
    <mergeCell ref="A11:D11"/>
    <mergeCell ref="E11:J11"/>
    <mergeCell ref="O11:U11"/>
    <mergeCell ref="A12:D12"/>
    <mergeCell ref="E12:J12"/>
    <mergeCell ref="L12:N12"/>
    <mergeCell ref="O12:U12"/>
    <mergeCell ref="A9:D9"/>
    <mergeCell ref="E9:J9"/>
    <mergeCell ref="L9:N9"/>
    <mergeCell ref="O9:U9"/>
    <mergeCell ref="A10:D10"/>
    <mergeCell ref="E10:J10"/>
    <mergeCell ref="L10:N10"/>
    <mergeCell ref="O10:U10"/>
    <mergeCell ref="D7:J7"/>
    <mergeCell ref="L7:N7"/>
    <mergeCell ref="O7:U7"/>
    <mergeCell ref="A8:D8"/>
    <mergeCell ref="E8:J8"/>
    <mergeCell ref="O8:U8"/>
    <mergeCell ref="A5:C5"/>
    <mergeCell ref="D5:J5"/>
    <mergeCell ref="L5:N5"/>
    <mergeCell ref="O5:U5"/>
    <mergeCell ref="A6:C6"/>
    <mergeCell ref="D6:J6"/>
    <mergeCell ref="L6:N6"/>
    <mergeCell ref="A2:U2"/>
    <mergeCell ref="A3:U3"/>
    <mergeCell ref="A1:U1"/>
    <mergeCell ref="A4:C4"/>
    <mergeCell ref="D4:J4"/>
    <mergeCell ref="L4:N4"/>
    <mergeCell ref="O4:U4"/>
  </mergeCells>
  <printOptions horizontalCentered="1"/>
  <pageMargins left="0.5" right="0.5" top="0.5" bottom="0.5" header="0" footer="0"/>
  <pageSetup scale="65" orientation="portrait" r:id="rId1"/>
  <headerFooter alignWithMargins="0">
    <oddFooter>&amp;L&amp;8Go/No-Go v1.0&amp;C&amp;8Page &amp;P of &amp;N&amp;R&amp;8&amp;D &amp;T</oddFooter>
  </headerFooter>
  <drawing r:id="rId2"/>
  <legacyDrawing r:id="rId3"/>
  <controls>
    <control shapeId="118815" r:id="rId4" name="OptAtt5Val2"/>
    <control shapeId="118814" r:id="rId5" name="OptStr3No"/>
    <control shapeId="118813" r:id="rId6" name="OptStr3Yes"/>
    <control shapeId="118812" r:id="rId7" name="OptStr2No"/>
    <control shapeId="118811" r:id="rId8" name="OptStr2Yes"/>
    <control shapeId="118810" r:id="rId9" name="OptStr1No"/>
    <control shapeId="118809" r:id="rId10" name="OptStr1Yes"/>
    <control shapeId="118808" r:id="rId11" name="OptAtt5Val5"/>
    <control shapeId="118807" r:id="rId12" name="OptAtt5Val4"/>
    <control shapeId="118806" r:id="rId13" name="OptAtt5Val3"/>
    <control shapeId="118805" r:id="rId14" name="OptAtt5Val1"/>
    <control shapeId="118804" r:id="rId15" name="OptAtt4Val5"/>
    <control shapeId="118803" r:id="rId16" name="OptAtt4Val4"/>
    <control shapeId="118802" r:id="rId17" name="OptAtt4Val3"/>
    <control shapeId="118801" r:id="rId18" name="OptAtt4Val2"/>
    <control shapeId="118800" r:id="rId19" name="OptAtt4Val1"/>
    <control shapeId="118799" r:id="rId20" name="OptAtt3Val5"/>
    <control shapeId="118798" r:id="rId21" name="OptAtt3Val4"/>
    <control shapeId="118797" r:id="rId22" name="OptAtt3Val3"/>
    <control shapeId="118796" r:id="rId23" name="OptAtt3Val2"/>
    <control shapeId="118795" r:id="rId24" name="OptAtt3Val1"/>
    <control shapeId="118794" r:id="rId25" name="OptAtt2Val5"/>
    <control shapeId="118793" r:id="rId26" name="OptAtt2Val4"/>
    <control shapeId="118792" r:id="rId27" name="OptAtt2Val3"/>
    <control shapeId="118791" r:id="rId28" name="OptAtt2Val2"/>
    <control shapeId="118790" r:id="rId29" name="OptAtt2Val1"/>
    <control shapeId="118789" r:id="rId30" name="OptAtt1Val5"/>
    <control shapeId="118788" r:id="rId31" name="OptAtt1Val4"/>
    <control shapeId="118787" r:id="rId32" name="OptAtt1Val3"/>
    <control shapeId="118786" r:id="rId33" name="OptAtt1Val2"/>
    <control shapeId="118785" r:id="rId34" name="OptAtt1Val1"/>
  </controls>
</worksheet>
</file>

<file path=xl/worksheets/sheet3.xml><?xml version="1.0" encoding="utf-8"?>
<worksheet xmlns="http://schemas.openxmlformats.org/spreadsheetml/2006/main" xmlns:r="http://schemas.openxmlformats.org/officeDocument/2006/relationships">
  <sheetPr codeName="Sheet3"/>
  <dimension ref="A1:U43"/>
  <sheetViews>
    <sheetView showGridLines="0" topLeftCell="A7" zoomScaleNormal="100" zoomScaleSheetLayoutView="100" workbookViewId="0">
      <selection activeCell="S9" sqref="S9:T9"/>
    </sheetView>
  </sheetViews>
  <sheetFormatPr defaultRowHeight="12.75"/>
  <cols>
    <col min="1" max="2" width="3.7109375" style="1" customWidth="1"/>
    <col min="3" max="3" width="9.140625" style="1" customWidth="1"/>
    <col min="4" max="4" width="8.140625" style="1" customWidth="1"/>
    <col min="5" max="8" width="3.7109375" style="1" customWidth="1"/>
    <col min="9" max="9" width="27" style="1" customWidth="1"/>
    <col min="10" max="10" width="8" style="1" customWidth="1"/>
    <col min="11" max="15" width="6.140625" style="1" customWidth="1"/>
    <col min="16" max="16" width="6" style="1" customWidth="1"/>
    <col min="17" max="19" width="6.140625" style="1" customWidth="1"/>
    <col min="20" max="20" width="9.42578125" style="1" customWidth="1"/>
    <col min="21" max="21" width="9.28515625" style="1" customWidth="1"/>
    <col min="22" max="35" width="3.7109375" style="1" customWidth="1"/>
    <col min="36" max="16384" width="9.140625" style="1"/>
  </cols>
  <sheetData>
    <row r="1" spans="1:21" ht="61.5" customHeight="1" thickBot="1">
      <c r="A1" s="330"/>
      <c r="B1" s="331"/>
      <c r="C1" s="331"/>
      <c r="D1" s="331"/>
      <c r="E1" s="331"/>
      <c r="F1" s="331"/>
      <c r="G1" s="331"/>
      <c r="H1" s="331"/>
      <c r="I1" s="331"/>
      <c r="J1" s="331"/>
      <c r="K1" s="331"/>
      <c r="L1" s="331"/>
      <c r="M1" s="331"/>
      <c r="N1" s="331"/>
      <c r="O1" s="331"/>
      <c r="P1" s="331"/>
      <c r="Q1" s="331"/>
      <c r="R1" s="331"/>
      <c r="S1" s="331"/>
      <c r="T1" s="331"/>
      <c r="U1" s="331"/>
    </row>
    <row r="2" spans="1:21" s="8" customFormat="1" ht="22.5" customHeight="1" thickBot="1">
      <c r="A2" s="332" t="s">
        <v>97</v>
      </c>
      <c r="B2" s="332"/>
      <c r="C2" s="332"/>
      <c r="D2" s="332"/>
      <c r="E2" s="332"/>
      <c r="F2" s="332"/>
      <c r="G2" s="332"/>
      <c r="H2" s="332"/>
      <c r="I2" s="332"/>
      <c r="J2" s="332"/>
      <c r="K2" s="332"/>
      <c r="L2" s="332"/>
      <c r="M2" s="332"/>
      <c r="N2" s="332"/>
      <c r="O2" s="332"/>
      <c r="P2" s="332"/>
      <c r="Q2" s="332"/>
      <c r="R2" s="332"/>
      <c r="S2" s="332"/>
      <c r="T2" s="332"/>
      <c r="U2" s="332"/>
    </row>
    <row r="3" spans="1:21" s="37" customFormat="1" ht="20.100000000000001" customHeight="1">
      <c r="A3" s="151" t="s">
        <v>99</v>
      </c>
      <c r="B3" s="151"/>
      <c r="C3" s="151"/>
      <c r="D3" s="151"/>
      <c r="E3" s="151"/>
      <c r="F3" s="151"/>
      <c r="G3" s="151"/>
      <c r="H3" s="151"/>
      <c r="I3" s="151"/>
      <c r="J3" s="151"/>
      <c r="K3" s="151"/>
      <c r="L3" s="151"/>
      <c r="M3" s="151"/>
      <c r="N3" s="151"/>
      <c r="O3" s="151"/>
      <c r="P3" s="151"/>
      <c r="Q3" s="151"/>
      <c r="R3" s="151"/>
      <c r="S3" s="151"/>
      <c r="T3" s="151"/>
      <c r="U3" s="151"/>
    </row>
    <row r="4" spans="1:21" s="37" customFormat="1" ht="20.100000000000001" customHeight="1">
      <c r="A4" s="151"/>
      <c r="B4" s="151"/>
      <c r="C4" s="151"/>
      <c r="D4" s="151"/>
      <c r="E4" s="151"/>
      <c r="F4" s="151"/>
      <c r="G4" s="151"/>
      <c r="H4" s="151"/>
      <c r="I4" s="151"/>
      <c r="J4" s="151"/>
      <c r="K4" s="151"/>
      <c r="L4" s="151"/>
      <c r="M4" s="151"/>
      <c r="N4" s="151"/>
      <c r="O4" s="151"/>
      <c r="P4" s="151"/>
      <c r="Q4" s="151"/>
      <c r="R4" s="151"/>
      <c r="S4" s="151"/>
      <c r="T4" s="151"/>
      <c r="U4" s="151"/>
    </row>
    <row r="5" spans="1:21" ht="15" customHeight="1">
      <c r="A5" s="333"/>
      <c r="B5" s="333"/>
      <c r="C5" s="333"/>
      <c r="D5" s="333"/>
      <c r="E5" s="333"/>
      <c r="F5" s="333"/>
      <c r="G5" s="333"/>
      <c r="H5" s="333"/>
      <c r="I5" s="333"/>
      <c r="J5" s="333"/>
      <c r="K5" s="333"/>
      <c r="L5" s="333"/>
      <c r="M5" s="333"/>
      <c r="N5" s="344" t="s">
        <v>52</v>
      </c>
      <c r="O5" s="345"/>
      <c r="P5" s="345"/>
      <c r="Q5" s="345"/>
      <c r="R5" s="345"/>
      <c r="S5" s="345"/>
      <c r="T5" s="345"/>
      <c r="U5" s="346"/>
    </row>
    <row r="6" spans="1:21" ht="15" customHeight="1">
      <c r="A6" s="333"/>
      <c r="B6" s="333"/>
      <c r="C6" s="333"/>
      <c r="D6" s="333"/>
      <c r="E6" s="333"/>
      <c r="F6" s="333"/>
      <c r="G6" s="333"/>
      <c r="H6" s="333"/>
      <c r="I6" s="333"/>
      <c r="J6" s="333"/>
      <c r="K6" s="333"/>
      <c r="L6" s="333"/>
      <c r="M6" s="333"/>
      <c r="N6" s="347"/>
      <c r="O6" s="348"/>
      <c r="P6" s="348"/>
      <c r="Q6" s="348"/>
      <c r="R6" s="348"/>
      <c r="S6" s="348"/>
      <c r="T6" s="348"/>
      <c r="U6" s="349"/>
    </row>
    <row r="7" spans="1:21" ht="15" customHeight="1">
      <c r="A7" s="333"/>
      <c r="B7" s="333"/>
      <c r="C7" s="333"/>
      <c r="D7" s="333"/>
      <c r="E7" s="333"/>
      <c r="F7" s="333"/>
      <c r="G7" s="333"/>
      <c r="H7" s="333"/>
      <c r="I7" s="333"/>
      <c r="J7" s="333"/>
      <c r="K7" s="333"/>
      <c r="L7" s="333"/>
      <c r="M7" s="333"/>
      <c r="N7" s="337"/>
      <c r="O7" s="341"/>
      <c r="P7" s="341"/>
      <c r="Q7" s="341"/>
      <c r="R7" s="341"/>
      <c r="S7" s="341"/>
      <c r="T7" s="341"/>
      <c r="U7" s="342"/>
    </row>
    <row r="8" spans="1:21" ht="15" customHeight="1">
      <c r="A8" s="333"/>
      <c r="B8" s="333"/>
      <c r="C8" s="333"/>
      <c r="D8" s="333"/>
      <c r="E8" s="333"/>
      <c r="F8" s="333"/>
      <c r="G8" s="333"/>
      <c r="H8" s="333"/>
      <c r="I8" s="333"/>
      <c r="J8" s="333"/>
      <c r="K8" s="333"/>
      <c r="L8" s="333"/>
      <c r="M8" s="333"/>
      <c r="N8" s="334"/>
      <c r="O8" s="247" t="s">
        <v>54</v>
      </c>
      <c r="P8" s="182"/>
      <c r="Q8" s="182"/>
      <c r="R8" s="182"/>
      <c r="S8" s="248">
        <f>U41</f>
        <v>0</v>
      </c>
      <c r="T8" s="248"/>
      <c r="U8" s="336"/>
    </row>
    <row r="9" spans="1:21" ht="15" customHeight="1">
      <c r="A9" s="333"/>
      <c r="B9" s="333"/>
      <c r="C9" s="333"/>
      <c r="D9" s="333"/>
      <c r="E9" s="333"/>
      <c r="F9" s="333"/>
      <c r="G9" s="333"/>
      <c r="H9" s="333"/>
      <c r="I9" s="333"/>
      <c r="J9" s="333"/>
      <c r="K9" s="333"/>
      <c r="L9" s="333"/>
      <c r="M9" s="333"/>
      <c r="N9" s="334"/>
      <c r="O9" s="247" t="s">
        <v>1</v>
      </c>
      <c r="P9" s="182"/>
      <c r="Q9" s="182"/>
      <c r="R9" s="182"/>
      <c r="S9" s="249"/>
      <c r="T9" s="249"/>
      <c r="U9" s="336"/>
    </row>
    <row r="10" spans="1:21" ht="15" customHeight="1">
      <c r="A10" s="333"/>
      <c r="B10" s="333"/>
      <c r="C10" s="333"/>
      <c r="D10" s="333"/>
      <c r="E10" s="333"/>
      <c r="F10" s="333"/>
      <c r="G10" s="333"/>
      <c r="H10" s="333"/>
      <c r="I10" s="333"/>
      <c r="J10" s="333"/>
      <c r="K10" s="333"/>
      <c r="L10" s="333"/>
      <c r="M10" s="333"/>
      <c r="N10" s="334"/>
      <c r="O10" s="247" t="s">
        <v>24</v>
      </c>
      <c r="P10" s="182"/>
      <c r="Q10" s="182"/>
      <c r="R10" s="182"/>
      <c r="S10" s="250"/>
      <c r="T10" s="250"/>
      <c r="U10" s="336"/>
    </row>
    <row r="11" spans="1:21" ht="15" customHeight="1">
      <c r="A11" s="333"/>
      <c r="B11" s="333"/>
      <c r="C11" s="333"/>
      <c r="D11" s="333"/>
      <c r="E11" s="333"/>
      <c r="F11" s="333"/>
      <c r="G11" s="333"/>
      <c r="H11" s="333"/>
      <c r="I11" s="333"/>
      <c r="J11" s="333"/>
      <c r="K11" s="333"/>
      <c r="L11" s="333"/>
      <c r="M11" s="333"/>
      <c r="N11" s="334"/>
      <c r="O11" s="335"/>
      <c r="P11" s="335"/>
      <c r="Q11" s="335"/>
      <c r="R11" s="335"/>
      <c r="S11" s="335"/>
      <c r="T11" s="335"/>
      <c r="U11" s="336"/>
    </row>
    <row r="12" spans="1:21" ht="15" customHeight="1">
      <c r="A12" s="333"/>
      <c r="B12" s="333"/>
      <c r="C12" s="333"/>
      <c r="D12" s="333"/>
      <c r="E12" s="333"/>
      <c r="F12" s="333"/>
      <c r="G12" s="333"/>
      <c r="H12" s="333"/>
      <c r="I12" s="333"/>
      <c r="J12" s="333"/>
      <c r="K12" s="333"/>
      <c r="L12" s="333"/>
      <c r="M12" s="333"/>
      <c r="N12" s="334"/>
      <c r="O12" s="247" t="s">
        <v>112</v>
      </c>
      <c r="P12" s="182"/>
      <c r="Q12" s="182"/>
      <c r="R12" s="182"/>
      <c r="S12" s="343">
        <f>IF(S8&gt;0,IF(S10&gt;0,S8/S10,),)</f>
        <v>0</v>
      </c>
      <c r="T12" s="343"/>
      <c r="U12" s="47"/>
    </row>
    <row r="13" spans="1:21" ht="15" customHeight="1">
      <c r="A13" s="333"/>
      <c r="B13" s="333"/>
      <c r="C13" s="333"/>
      <c r="D13" s="333"/>
      <c r="E13" s="333"/>
      <c r="F13" s="333"/>
      <c r="G13" s="333"/>
      <c r="H13" s="333"/>
      <c r="I13" s="333"/>
      <c r="J13" s="333"/>
      <c r="K13" s="333"/>
      <c r="L13" s="333"/>
      <c r="M13" s="333"/>
      <c r="N13" s="338"/>
      <c r="O13" s="339"/>
      <c r="P13" s="339"/>
      <c r="Q13" s="339"/>
      <c r="R13" s="339"/>
      <c r="S13" s="339"/>
      <c r="T13" s="339"/>
      <c r="U13" s="340"/>
    </row>
    <row r="14" spans="1:21" ht="18">
      <c r="A14" s="333"/>
      <c r="B14" s="333"/>
      <c r="C14" s="333"/>
      <c r="D14" s="333"/>
      <c r="E14" s="333"/>
      <c r="F14" s="333"/>
      <c r="G14" s="333"/>
      <c r="H14" s="333"/>
      <c r="I14" s="333"/>
      <c r="J14" s="333"/>
      <c r="K14" s="333"/>
      <c r="L14" s="333"/>
      <c r="M14" s="333"/>
      <c r="N14" s="49"/>
      <c r="O14" s="49"/>
      <c r="P14" s="48"/>
      <c r="Q14" s="48"/>
      <c r="R14" s="48"/>
      <c r="S14" s="48"/>
      <c r="T14" s="49"/>
      <c r="U14" s="49"/>
    </row>
    <row r="15" spans="1:21" ht="30.75" customHeight="1">
      <c r="A15" s="50"/>
      <c r="B15" s="245" t="s">
        <v>3</v>
      </c>
      <c r="C15" s="245"/>
      <c r="D15" s="245"/>
      <c r="E15" s="245"/>
      <c r="F15" s="245"/>
      <c r="G15" s="245"/>
      <c r="H15" s="245"/>
      <c r="I15" s="245"/>
      <c r="J15" s="245"/>
      <c r="K15" s="245"/>
      <c r="L15" s="245"/>
      <c r="M15" s="245"/>
      <c r="N15" s="245"/>
      <c r="O15" s="245"/>
      <c r="P15" s="245"/>
      <c r="Q15" s="245"/>
      <c r="R15" s="245"/>
      <c r="S15" s="245"/>
      <c r="T15" s="245"/>
      <c r="U15" s="245"/>
    </row>
    <row r="16" spans="1:21" ht="24" customHeight="1">
      <c r="A16" s="246"/>
      <c r="B16" s="263" t="s">
        <v>22</v>
      </c>
      <c r="C16" s="264"/>
      <c r="D16" s="264"/>
      <c r="E16" s="264"/>
      <c r="F16" s="264"/>
      <c r="G16" s="264"/>
      <c r="H16" s="264"/>
      <c r="I16" s="265" t="s">
        <v>23</v>
      </c>
      <c r="J16" s="266"/>
      <c r="K16" s="266"/>
      <c r="L16" s="266"/>
      <c r="M16" s="266"/>
      <c r="N16" s="266"/>
      <c r="O16" s="266"/>
      <c r="P16" s="267"/>
      <c r="Q16" s="268" t="s">
        <v>4</v>
      </c>
      <c r="R16" s="268"/>
      <c r="S16" s="269" t="s">
        <v>5</v>
      </c>
      <c r="T16" s="270"/>
      <c r="U16" s="69" t="s">
        <v>0</v>
      </c>
    </row>
    <row r="17" spans="1:21">
      <c r="A17" s="246"/>
      <c r="B17" s="271" t="s">
        <v>6</v>
      </c>
      <c r="C17" s="272"/>
      <c r="D17" s="272"/>
      <c r="E17" s="272"/>
      <c r="F17" s="272"/>
      <c r="G17" s="272"/>
      <c r="H17" s="273"/>
      <c r="I17" s="254" t="s">
        <v>15</v>
      </c>
      <c r="J17" s="254"/>
      <c r="K17" s="254"/>
      <c r="L17" s="254"/>
      <c r="M17" s="254"/>
      <c r="N17" s="254"/>
      <c r="O17" s="254"/>
      <c r="P17" s="255"/>
      <c r="Q17" s="274"/>
      <c r="R17" s="275"/>
      <c r="S17" s="276"/>
      <c r="T17" s="277"/>
      <c r="U17" s="52" t="str">
        <f t="shared" ref="U17:U25" si="0">IF((S17*Q17)=0," ",S17*Q17)</f>
        <v xml:space="preserve"> </v>
      </c>
    </row>
    <row r="18" spans="1:21">
      <c r="A18" s="246"/>
      <c r="B18" s="251"/>
      <c r="C18" s="252"/>
      <c r="D18" s="252"/>
      <c r="E18" s="252"/>
      <c r="F18" s="252"/>
      <c r="G18" s="252"/>
      <c r="H18" s="253"/>
      <c r="I18" s="254" t="s">
        <v>2</v>
      </c>
      <c r="J18" s="255"/>
      <c r="K18" s="255"/>
      <c r="L18" s="255"/>
      <c r="M18" s="255"/>
      <c r="N18" s="255"/>
      <c r="O18" s="255"/>
      <c r="P18" s="255"/>
      <c r="Q18" s="256"/>
      <c r="R18" s="257"/>
      <c r="S18" s="258"/>
      <c r="T18" s="259"/>
      <c r="U18" s="52" t="str">
        <f t="shared" si="0"/>
        <v xml:space="preserve"> </v>
      </c>
    </row>
    <row r="19" spans="1:21">
      <c r="A19" s="246"/>
      <c r="B19" s="251"/>
      <c r="C19" s="260"/>
      <c r="D19" s="260"/>
      <c r="E19" s="260"/>
      <c r="F19" s="260"/>
      <c r="G19" s="260"/>
      <c r="H19" s="253"/>
      <c r="I19" s="261"/>
      <c r="J19" s="255"/>
      <c r="K19" s="255"/>
      <c r="L19" s="255"/>
      <c r="M19" s="255"/>
      <c r="N19" s="255"/>
      <c r="O19" s="255"/>
      <c r="P19" s="262"/>
      <c r="Q19" s="256"/>
      <c r="R19" s="257"/>
      <c r="S19" s="258"/>
      <c r="T19" s="259"/>
      <c r="U19" s="56" t="str">
        <f t="shared" si="0"/>
        <v xml:space="preserve"> </v>
      </c>
    </row>
    <row r="20" spans="1:21">
      <c r="A20" s="246"/>
      <c r="B20" s="271" t="s">
        <v>7</v>
      </c>
      <c r="C20" s="272"/>
      <c r="D20" s="272"/>
      <c r="E20" s="272"/>
      <c r="F20" s="272"/>
      <c r="G20" s="272"/>
      <c r="H20" s="273"/>
      <c r="I20" s="280" t="s">
        <v>16</v>
      </c>
      <c r="J20" s="280"/>
      <c r="K20" s="280"/>
      <c r="L20" s="280"/>
      <c r="M20" s="280"/>
      <c r="N20" s="280"/>
      <c r="O20" s="280"/>
      <c r="P20" s="281"/>
      <c r="Q20" s="274"/>
      <c r="R20" s="275"/>
      <c r="S20" s="276"/>
      <c r="T20" s="277"/>
      <c r="U20" s="55" t="str">
        <f t="shared" si="0"/>
        <v xml:space="preserve"> </v>
      </c>
    </row>
    <row r="21" spans="1:21">
      <c r="A21" s="246"/>
      <c r="B21" s="292"/>
      <c r="C21" s="284"/>
      <c r="D21" s="284"/>
      <c r="E21" s="284"/>
      <c r="F21" s="284"/>
      <c r="G21" s="284"/>
      <c r="H21" s="285"/>
      <c r="I21" s="286"/>
      <c r="J21" s="286"/>
      <c r="K21" s="286"/>
      <c r="L21" s="286"/>
      <c r="M21" s="286"/>
      <c r="N21" s="286"/>
      <c r="O21" s="286"/>
      <c r="P21" s="287"/>
      <c r="Q21" s="288"/>
      <c r="R21" s="289"/>
      <c r="S21" s="290"/>
      <c r="T21" s="291"/>
      <c r="U21" s="54" t="str">
        <f t="shared" si="0"/>
        <v xml:space="preserve"> </v>
      </c>
    </row>
    <row r="22" spans="1:21">
      <c r="A22" s="246"/>
      <c r="B22" s="278"/>
      <c r="C22" s="279"/>
      <c r="D22" s="279"/>
      <c r="E22" s="279"/>
      <c r="F22" s="279"/>
      <c r="G22" s="279"/>
      <c r="H22" s="273"/>
      <c r="I22" s="280"/>
      <c r="J22" s="280"/>
      <c r="K22" s="280"/>
      <c r="L22" s="280"/>
      <c r="M22" s="280"/>
      <c r="N22" s="280"/>
      <c r="O22" s="280"/>
      <c r="P22" s="281"/>
      <c r="Q22" s="274"/>
      <c r="R22" s="275"/>
      <c r="S22" s="276"/>
      <c r="T22" s="277"/>
      <c r="U22" s="55" t="str">
        <f t="shared" si="0"/>
        <v xml:space="preserve"> </v>
      </c>
    </row>
    <row r="23" spans="1:21">
      <c r="A23" s="246"/>
      <c r="B23" s="282" t="s">
        <v>9</v>
      </c>
      <c r="C23" s="283"/>
      <c r="D23" s="283"/>
      <c r="E23" s="283"/>
      <c r="F23" s="283"/>
      <c r="G23" s="284"/>
      <c r="H23" s="285"/>
      <c r="I23" s="286"/>
      <c r="J23" s="286"/>
      <c r="K23" s="286"/>
      <c r="L23" s="286"/>
      <c r="M23" s="286"/>
      <c r="N23" s="286"/>
      <c r="O23" s="286"/>
      <c r="P23" s="287"/>
      <c r="Q23" s="288"/>
      <c r="R23" s="289"/>
      <c r="S23" s="290"/>
      <c r="T23" s="291"/>
      <c r="U23" s="54" t="str">
        <f t="shared" si="0"/>
        <v xml:space="preserve"> </v>
      </c>
    </row>
    <row r="24" spans="1:21">
      <c r="A24" s="246"/>
      <c r="B24" s="251" t="s">
        <v>10</v>
      </c>
      <c r="C24" s="302"/>
      <c r="D24" s="302"/>
      <c r="E24" s="302"/>
      <c r="F24" s="302"/>
      <c r="G24" s="260"/>
      <c r="H24" s="253"/>
      <c r="I24" s="254"/>
      <c r="J24" s="254"/>
      <c r="K24" s="254"/>
      <c r="L24" s="254"/>
      <c r="M24" s="254"/>
      <c r="N24" s="254"/>
      <c r="O24" s="254"/>
      <c r="P24" s="255"/>
      <c r="Q24" s="256"/>
      <c r="R24" s="257"/>
      <c r="S24" s="258"/>
      <c r="T24" s="259"/>
      <c r="U24" s="52" t="str">
        <f t="shared" si="0"/>
        <v xml:space="preserve"> </v>
      </c>
    </row>
    <row r="25" spans="1:21">
      <c r="A25" s="246"/>
      <c r="B25" s="303"/>
      <c r="C25" s="252"/>
      <c r="D25" s="252"/>
      <c r="E25" s="252"/>
      <c r="F25" s="252"/>
      <c r="G25" s="252"/>
      <c r="H25" s="253"/>
      <c r="I25" s="304"/>
      <c r="J25" s="304"/>
      <c r="K25" s="304"/>
      <c r="L25" s="304"/>
      <c r="M25" s="304"/>
      <c r="N25" s="304"/>
      <c r="O25" s="255"/>
      <c r="P25" s="255"/>
      <c r="Q25" s="256"/>
      <c r="R25" s="257"/>
      <c r="S25" s="258"/>
      <c r="T25" s="259"/>
      <c r="U25" s="52" t="str">
        <f t="shared" si="0"/>
        <v xml:space="preserve"> </v>
      </c>
    </row>
    <row r="26" spans="1:21" ht="16.5" customHeight="1">
      <c r="A26" s="246"/>
      <c r="B26" s="293" t="s">
        <v>25</v>
      </c>
      <c r="C26" s="293"/>
      <c r="D26" s="293"/>
      <c r="E26" s="293"/>
      <c r="F26" s="293"/>
      <c r="G26" s="293"/>
      <c r="H26" s="293"/>
      <c r="I26" s="294"/>
      <c r="J26" s="294"/>
      <c r="K26" s="294"/>
      <c r="L26" s="294"/>
      <c r="M26" s="294"/>
      <c r="N26" s="294"/>
      <c r="O26" s="294"/>
      <c r="P26" s="294"/>
      <c r="Q26" s="294"/>
      <c r="R26" s="294"/>
      <c r="S26" s="294"/>
      <c r="T26" s="295"/>
      <c r="U26" s="51">
        <f>SUM(U17:U25)</f>
        <v>0</v>
      </c>
    </row>
    <row r="27" spans="1:21" s="8" customFormat="1" ht="33" customHeight="1">
      <c r="A27" s="246"/>
      <c r="B27" s="245" t="s">
        <v>11</v>
      </c>
      <c r="C27" s="296"/>
      <c r="D27" s="296"/>
      <c r="E27" s="296"/>
      <c r="F27" s="296"/>
      <c r="G27" s="296"/>
      <c r="H27" s="296"/>
      <c r="I27" s="296"/>
      <c r="J27" s="296"/>
      <c r="K27" s="296"/>
      <c r="L27" s="296"/>
      <c r="M27" s="296"/>
      <c r="N27" s="296"/>
      <c r="O27" s="296"/>
      <c r="P27" s="296"/>
      <c r="Q27" s="296"/>
      <c r="R27" s="296"/>
      <c r="S27" s="296"/>
      <c r="T27" s="296"/>
      <c r="U27" s="296"/>
    </row>
    <row r="28" spans="1:21" ht="24" customHeight="1">
      <c r="A28" s="246"/>
      <c r="B28" s="297" t="s">
        <v>22</v>
      </c>
      <c r="C28" s="298"/>
      <c r="D28" s="298"/>
      <c r="E28" s="298"/>
      <c r="F28" s="298"/>
      <c r="G28" s="298"/>
      <c r="H28" s="299"/>
      <c r="I28" s="300" t="s">
        <v>23</v>
      </c>
      <c r="J28" s="266"/>
      <c r="K28" s="266"/>
      <c r="L28" s="266"/>
      <c r="M28" s="266"/>
      <c r="N28" s="266"/>
      <c r="O28" s="266"/>
      <c r="P28" s="266"/>
      <c r="Q28" s="269" t="s">
        <v>4</v>
      </c>
      <c r="R28" s="301"/>
      <c r="S28" s="269" t="s">
        <v>5</v>
      </c>
      <c r="T28" s="301"/>
      <c r="U28" s="69" t="s">
        <v>0</v>
      </c>
    </row>
    <row r="29" spans="1:21">
      <c r="A29" s="246"/>
      <c r="B29" s="271" t="s">
        <v>12</v>
      </c>
      <c r="C29" s="272"/>
      <c r="D29" s="272"/>
      <c r="E29" s="272"/>
      <c r="F29" s="272"/>
      <c r="G29" s="272"/>
      <c r="H29" s="273"/>
      <c r="I29" s="254" t="s">
        <v>17</v>
      </c>
      <c r="J29" s="254"/>
      <c r="K29" s="254"/>
      <c r="L29" s="254"/>
      <c r="M29" s="254"/>
      <c r="N29" s="254"/>
      <c r="O29" s="254"/>
      <c r="P29" s="255"/>
      <c r="Q29" s="274"/>
      <c r="R29" s="275"/>
      <c r="S29" s="276"/>
      <c r="T29" s="277"/>
      <c r="U29" s="52" t="str">
        <f t="shared" ref="U29:U39" si="1">IF((S29*Q29)=0," ",S29*Q29)</f>
        <v xml:space="preserve"> </v>
      </c>
    </row>
    <row r="30" spans="1:21">
      <c r="A30" s="246"/>
      <c r="B30" s="251"/>
      <c r="C30" s="252"/>
      <c r="D30" s="252"/>
      <c r="E30" s="252"/>
      <c r="F30" s="252"/>
      <c r="G30" s="252"/>
      <c r="H30" s="253"/>
      <c r="I30" s="254" t="s">
        <v>13</v>
      </c>
      <c r="J30" s="255"/>
      <c r="K30" s="255"/>
      <c r="L30" s="255"/>
      <c r="M30" s="255"/>
      <c r="N30" s="255"/>
      <c r="O30" s="255"/>
      <c r="P30" s="255"/>
      <c r="Q30" s="256"/>
      <c r="R30" s="257"/>
      <c r="S30" s="258"/>
      <c r="T30" s="259"/>
      <c r="U30" s="52" t="str">
        <f t="shared" si="1"/>
        <v xml:space="preserve"> </v>
      </c>
    </row>
    <row r="31" spans="1:21">
      <c r="A31" s="246"/>
      <c r="B31" s="305"/>
      <c r="C31" s="306"/>
      <c r="D31" s="306"/>
      <c r="E31" s="306"/>
      <c r="F31" s="306"/>
      <c r="G31" s="306"/>
      <c r="H31" s="307"/>
      <c r="I31" s="308" t="s">
        <v>8</v>
      </c>
      <c r="J31" s="309"/>
      <c r="K31" s="309"/>
      <c r="L31" s="309"/>
      <c r="M31" s="309"/>
      <c r="N31" s="309"/>
      <c r="O31" s="309"/>
      <c r="P31" s="310"/>
      <c r="Q31" s="311"/>
      <c r="R31" s="312"/>
      <c r="S31" s="313"/>
      <c r="T31" s="314"/>
      <c r="U31" s="53" t="str">
        <f t="shared" si="1"/>
        <v xml:space="preserve"> </v>
      </c>
    </row>
    <row r="32" spans="1:21">
      <c r="A32" s="246"/>
      <c r="B32" s="251" t="s">
        <v>10</v>
      </c>
      <c r="C32" s="302"/>
      <c r="D32" s="302"/>
      <c r="E32" s="302"/>
      <c r="F32" s="302"/>
      <c r="G32" s="302"/>
      <c r="H32" s="253"/>
      <c r="I32" s="254" t="s">
        <v>18</v>
      </c>
      <c r="J32" s="254"/>
      <c r="K32" s="254"/>
      <c r="L32" s="254"/>
      <c r="M32" s="254"/>
      <c r="N32" s="254"/>
      <c r="O32" s="254"/>
      <c r="P32" s="255"/>
      <c r="Q32" s="256"/>
      <c r="R32" s="257"/>
      <c r="S32" s="258"/>
      <c r="T32" s="259"/>
      <c r="U32" s="52" t="str">
        <f t="shared" si="1"/>
        <v xml:space="preserve"> </v>
      </c>
    </row>
    <row r="33" spans="1:21">
      <c r="A33" s="246"/>
      <c r="B33" s="303"/>
      <c r="C33" s="252"/>
      <c r="D33" s="252"/>
      <c r="E33" s="252"/>
      <c r="F33" s="252"/>
      <c r="G33" s="252"/>
      <c r="H33" s="253"/>
      <c r="I33" s="254"/>
      <c r="J33" s="254"/>
      <c r="K33" s="254"/>
      <c r="L33" s="254"/>
      <c r="M33" s="254"/>
      <c r="N33" s="254"/>
      <c r="O33" s="254"/>
      <c r="P33" s="255"/>
      <c r="Q33" s="256"/>
      <c r="R33" s="257"/>
      <c r="S33" s="258"/>
      <c r="T33" s="259"/>
      <c r="U33" s="52" t="str">
        <f t="shared" si="1"/>
        <v xml:space="preserve"> </v>
      </c>
    </row>
    <row r="34" spans="1:21">
      <c r="A34" s="246"/>
      <c r="B34" s="303"/>
      <c r="C34" s="252"/>
      <c r="D34" s="252"/>
      <c r="E34" s="252"/>
      <c r="F34" s="252"/>
      <c r="G34" s="252"/>
      <c r="H34" s="253"/>
      <c r="I34" s="254" t="s">
        <v>8</v>
      </c>
      <c r="J34" s="254"/>
      <c r="K34" s="254"/>
      <c r="L34" s="254"/>
      <c r="M34" s="254"/>
      <c r="N34" s="254"/>
      <c r="O34" s="254"/>
      <c r="P34" s="255"/>
      <c r="Q34" s="256"/>
      <c r="R34" s="257"/>
      <c r="S34" s="258"/>
      <c r="T34" s="259"/>
      <c r="U34" s="52" t="str">
        <f t="shared" si="1"/>
        <v xml:space="preserve"> </v>
      </c>
    </row>
    <row r="35" spans="1:21">
      <c r="A35" s="246"/>
      <c r="B35" s="303"/>
      <c r="C35" s="252"/>
      <c r="D35" s="252"/>
      <c r="E35" s="252"/>
      <c r="F35" s="252"/>
      <c r="G35" s="252"/>
      <c r="H35" s="253"/>
      <c r="I35" s="254" t="s">
        <v>2</v>
      </c>
      <c r="J35" s="254"/>
      <c r="K35" s="254"/>
      <c r="L35" s="254"/>
      <c r="M35" s="254"/>
      <c r="N35" s="254"/>
      <c r="O35" s="254"/>
      <c r="P35" s="255"/>
      <c r="Q35" s="256"/>
      <c r="R35" s="257"/>
      <c r="S35" s="258"/>
      <c r="T35" s="259"/>
      <c r="U35" s="52" t="str">
        <f t="shared" si="1"/>
        <v xml:space="preserve"> </v>
      </c>
    </row>
    <row r="36" spans="1:21">
      <c r="A36" s="246"/>
      <c r="B36" s="315"/>
      <c r="C36" s="306"/>
      <c r="D36" s="306"/>
      <c r="E36" s="306"/>
      <c r="F36" s="306"/>
      <c r="G36" s="306"/>
      <c r="H36" s="307"/>
      <c r="I36" s="316"/>
      <c r="J36" s="309"/>
      <c r="K36" s="309"/>
      <c r="L36" s="309"/>
      <c r="M36" s="309"/>
      <c r="N36" s="309"/>
      <c r="O36" s="309"/>
      <c r="P36" s="310"/>
      <c r="Q36" s="317"/>
      <c r="R36" s="318"/>
      <c r="S36" s="319"/>
      <c r="T36" s="320"/>
      <c r="U36" s="53" t="str">
        <f t="shared" si="1"/>
        <v xml:space="preserve"> </v>
      </c>
    </row>
    <row r="37" spans="1:21">
      <c r="A37" s="246"/>
      <c r="B37" s="251" t="s">
        <v>2</v>
      </c>
      <c r="C37" s="302"/>
      <c r="D37" s="302"/>
      <c r="E37" s="302"/>
      <c r="F37" s="302"/>
      <c r="G37" s="260"/>
      <c r="H37" s="253"/>
      <c r="I37" s="254"/>
      <c r="J37" s="254"/>
      <c r="K37" s="254"/>
      <c r="L37" s="254"/>
      <c r="M37" s="254"/>
      <c r="N37" s="254"/>
      <c r="O37" s="254"/>
      <c r="P37" s="255"/>
      <c r="Q37" s="321"/>
      <c r="R37" s="322"/>
      <c r="S37" s="323"/>
      <c r="T37" s="324"/>
      <c r="U37" s="52" t="str">
        <f t="shared" si="1"/>
        <v xml:space="preserve"> </v>
      </c>
    </row>
    <row r="38" spans="1:21">
      <c r="A38" s="246"/>
      <c r="B38" s="303"/>
      <c r="C38" s="252"/>
      <c r="D38" s="252"/>
      <c r="E38" s="252"/>
      <c r="F38" s="252"/>
      <c r="G38" s="252"/>
      <c r="H38" s="253"/>
      <c r="I38" s="254"/>
      <c r="J38" s="254"/>
      <c r="K38" s="254"/>
      <c r="L38" s="254"/>
      <c r="M38" s="254"/>
      <c r="N38" s="254"/>
      <c r="O38" s="254"/>
      <c r="P38" s="255"/>
      <c r="Q38" s="321"/>
      <c r="R38" s="322"/>
      <c r="S38" s="323"/>
      <c r="T38" s="324"/>
      <c r="U38" s="52" t="str">
        <f t="shared" si="1"/>
        <v xml:space="preserve"> </v>
      </c>
    </row>
    <row r="39" spans="1:21">
      <c r="A39" s="246"/>
      <c r="B39" s="303"/>
      <c r="C39" s="252"/>
      <c r="D39" s="252"/>
      <c r="E39" s="252"/>
      <c r="F39" s="252"/>
      <c r="G39" s="252"/>
      <c r="H39" s="253"/>
      <c r="I39" s="328"/>
      <c r="J39" s="286"/>
      <c r="K39" s="286"/>
      <c r="L39" s="286"/>
      <c r="M39" s="286"/>
      <c r="N39" s="286"/>
      <c r="O39" s="286"/>
      <c r="P39" s="329"/>
      <c r="Q39" s="321"/>
      <c r="R39" s="322"/>
      <c r="S39" s="323"/>
      <c r="T39" s="324"/>
      <c r="U39" s="52" t="str">
        <f t="shared" si="1"/>
        <v xml:space="preserve"> </v>
      </c>
    </row>
    <row r="40" spans="1:21" ht="19.5" customHeight="1">
      <c r="A40" s="246"/>
      <c r="B40" s="293" t="s">
        <v>26</v>
      </c>
      <c r="C40" s="293"/>
      <c r="D40" s="293"/>
      <c r="E40" s="293"/>
      <c r="F40" s="293"/>
      <c r="G40" s="294"/>
      <c r="H40" s="294"/>
      <c r="I40" s="294"/>
      <c r="J40" s="294"/>
      <c r="K40" s="294"/>
      <c r="L40" s="294"/>
      <c r="M40" s="294"/>
      <c r="N40" s="294"/>
      <c r="O40" s="294"/>
      <c r="P40" s="294"/>
      <c r="Q40" s="294"/>
      <c r="R40" s="294"/>
      <c r="S40" s="294"/>
      <c r="T40" s="295"/>
      <c r="U40" s="51">
        <f>SUM(U29:U36)</f>
        <v>0</v>
      </c>
    </row>
    <row r="41" spans="1:21" s="4" customFormat="1" ht="22.5" customHeight="1">
      <c r="A41" s="246"/>
      <c r="B41" s="325" t="s">
        <v>27</v>
      </c>
      <c r="C41" s="325"/>
      <c r="D41" s="325"/>
      <c r="E41" s="325"/>
      <c r="F41" s="325"/>
      <c r="G41" s="325"/>
      <c r="H41" s="325"/>
      <c r="I41" s="326"/>
      <c r="J41" s="326"/>
      <c r="K41" s="326"/>
      <c r="L41" s="326"/>
      <c r="M41" s="326"/>
      <c r="N41" s="326"/>
      <c r="O41" s="326"/>
      <c r="P41" s="326"/>
      <c r="Q41" s="326"/>
      <c r="R41" s="326"/>
      <c r="S41" s="326"/>
      <c r="T41" s="327"/>
      <c r="U41" s="51">
        <f>U26+U40</f>
        <v>0</v>
      </c>
    </row>
    <row r="42" spans="1:21">
      <c r="A42" s="246"/>
      <c r="B42" s="246"/>
      <c r="C42" s="246"/>
      <c r="D42" s="246"/>
      <c r="E42" s="246"/>
      <c r="F42" s="246"/>
      <c r="G42" s="246"/>
      <c r="H42" s="246"/>
      <c r="I42" s="246"/>
      <c r="J42" s="246"/>
      <c r="K42" s="246"/>
      <c r="L42" s="246"/>
      <c r="M42" s="246"/>
      <c r="N42" s="246"/>
      <c r="O42" s="246"/>
      <c r="P42" s="246"/>
      <c r="Q42" s="246"/>
      <c r="R42" s="246"/>
      <c r="S42" s="246"/>
      <c r="T42" s="246"/>
      <c r="U42" s="246"/>
    </row>
    <row r="43" spans="1:21">
      <c r="A43" s="38"/>
      <c r="B43" s="184" t="s">
        <v>14</v>
      </c>
      <c r="C43" s="184"/>
      <c r="D43" s="184"/>
      <c r="E43" s="184"/>
      <c r="F43" s="184"/>
      <c r="G43" s="184"/>
      <c r="H43" s="184"/>
      <c r="I43" s="184"/>
      <c r="J43" s="184"/>
      <c r="K43" s="184"/>
      <c r="L43" s="184"/>
      <c r="M43" s="184"/>
      <c r="N43" s="184"/>
      <c r="O43" s="184"/>
      <c r="P43" s="184"/>
      <c r="Q43" s="184"/>
      <c r="R43" s="184"/>
      <c r="S43" s="184"/>
      <c r="T43" s="184"/>
      <c r="U43" s="184"/>
    </row>
  </sheetData>
  <sheetProtection sheet="1" objects="1" scenarios="1" selectLockedCells="1"/>
  <mergeCells count="116">
    <mergeCell ref="A1:U1"/>
    <mergeCell ref="A2:U2"/>
    <mergeCell ref="A3:U3"/>
    <mergeCell ref="A5:M14"/>
    <mergeCell ref="N11:U11"/>
    <mergeCell ref="N7:N10"/>
    <mergeCell ref="N12:N13"/>
    <mergeCell ref="O13:U13"/>
    <mergeCell ref="O7:U7"/>
    <mergeCell ref="U8:U10"/>
    <mergeCell ref="O12:R12"/>
    <mergeCell ref="S12:T12"/>
    <mergeCell ref="N5:U6"/>
    <mergeCell ref="B39:H39"/>
    <mergeCell ref="Q39:R39"/>
    <mergeCell ref="S39:T39"/>
    <mergeCell ref="B40:T40"/>
    <mergeCell ref="B41:T41"/>
    <mergeCell ref="I39:P39"/>
    <mergeCell ref="B37:H37"/>
    <mergeCell ref="I37:P37"/>
    <mergeCell ref="Q37:R37"/>
    <mergeCell ref="S37:T37"/>
    <mergeCell ref="B38:H38"/>
    <mergeCell ref="I38:P38"/>
    <mergeCell ref="Q38:R38"/>
    <mergeCell ref="S38:T38"/>
    <mergeCell ref="B35:H35"/>
    <mergeCell ref="I35:P35"/>
    <mergeCell ref="Q35:R35"/>
    <mergeCell ref="S35:T35"/>
    <mergeCell ref="B36:H36"/>
    <mergeCell ref="I36:P36"/>
    <mergeCell ref="Q36:R36"/>
    <mergeCell ref="S36:T36"/>
    <mergeCell ref="B33:H33"/>
    <mergeCell ref="I33:P33"/>
    <mergeCell ref="Q33:R33"/>
    <mergeCell ref="S33:T33"/>
    <mergeCell ref="B34:H34"/>
    <mergeCell ref="I34:P34"/>
    <mergeCell ref="Q34:R34"/>
    <mergeCell ref="S34:T34"/>
    <mergeCell ref="B31:H31"/>
    <mergeCell ref="I31:P31"/>
    <mergeCell ref="Q31:R31"/>
    <mergeCell ref="S31:T31"/>
    <mergeCell ref="B32:H32"/>
    <mergeCell ref="I32:P32"/>
    <mergeCell ref="Q32:R32"/>
    <mergeCell ref="S32:T32"/>
    <mergeCell ref="B29:H29"/>
    <mergeCell ref="I29:P29"/>
    <mergeCell ref="Q29:R29"/>
    <mergeCell ref="S29:T29"/>
    <mergeCell ref="B30:H30"/>
    <mergeCell ref="I30:P30"/>
    <mergeCell ref="Q30:R30"/>
    <mergeCell ref="S30:T30"/>
    <mergeCell ref="B26:T26"/>
    <mergeCell ref="B27:U27"/>
    <mergeCell ref="B28:H28"/>
    <mergeCell ref="I28:P28"/>
    <mergeCell ref="Q28:R28"/>
    <mergeCell ref="S28:T28"/>
    <mergeCell ref="B24:H24"/>
    <mergeCell ref="I24:P24"/>
    <mergeCell ref="Q24:R24"/>
    <mergeCell ref="S24:T24"/>
    <mergeCell ref="B25:H25"/>
    <mergeCell ref="I25:P25"/>
    <mergeCell ref="Q25:R25"/>
    <mergeCell ref="S25:T25"/>
    <mergeCell ref="I17:P17"/>
    <mergeCell ref="Q17:R17"/>
    <mergeCell ref="S17:T17"/>
    <mergeCell ref="B22:H22"/>
    <mergeCell ref="I22:P22"/>
    <mergeCell ref="Q22:R22"/>
    <mergeCell ref="S22:T22"/>
    <mergeCell ref="B23:H23"/>
    <mergeCell ref="I23:P23"/>
    <mergeCell ref="Q23:R23"/>
    <mergeCell ref="S23:T23"/>
    <mergeCell ref="B20:H20"/>
    <mergeCell ref="I20:P20"/>
    <mergeCell ref="Q20:R20"/>
    <mergeCell ref="S20:T20"/>
    <mergeCell ref="B21:H21"/>
    <mergeCell ref="I21:P21"/>
    <mergeCell ref="Q21:R21"/>
    <mergeCell ref="S21:T21"/>
    <mergeCell ref="B43:U43"/>
    <mergeCell ref="A4:U4"/>
    <mergeCell ref="B15:U15"/>
    <mergeCell ref="A16:A42"/>
    <mergeCell ref="B42:U42"/>
    <mergeCell ref="O8:R8"/>
    <mergeCell ref="S8:T8"/>
    <mergeCell ref="O9:R9"/>
    <mergeCell ref="S9:T9"/>
    <mergeCell ref="O10:R10"/>
    <mergeCell ref="S10:T10"/>
    <mergeCell ref="B18:H18"/>
    <mergeCell ref="I18:P18"/>
    <mergeCell ref="Q18:R18"/>
    <mergeCell ref="S18:T18"/>
    <mergeCell ref="B19:H19"/>
    <mergeCell ref="I19:P19"/>
    <mergeCell ref="Q19:R19"/>
    <mergeCell ref="S19:T19"/>
    <mergeCell ref="B16:H16"/>
    <mergeCell ref="I16:P16"/>
    <mergeCell ref="Q16:R16"/>
    <mergeCell ref="S16:T16"/>
    <mergeCell ref="B17:H17"/>
  </mergeCells>
  <conditionalFormatting sqref="U29:U39 U17:U25">
    <cfRule type="cellIs" dxfId="0" priority="1" stopIfTrue="1" operator="greaterThan">
      <formula>0</formula>
    </cfRule>
  </conditionalFormatting>
  <printOptions horizontalCentered="1"/>
  <pageMargins left="0.5" right="0.5" top="0.5" bottom="0.5" header="0" footer="0"/>
  <pageSetup scale="65" orientation="portrait" r:id="rId1"/>
  <headerFooter alignWithMargins="0">
    <oddFooter>&amp;L&amp;8Go/No-Go v1.0&amp;C&amp;8Page &amp;P of &amp;N&amp;R&amp;8&amp;D &amp;T</oddFooter>
  </headerFooter>
  <drawing r:id="rId2"/>
</worksheet>
</file>

<file path=xl/worksheets/sheet4.xml><?xml version="1.0" encoding="utf-8"?>
<worksheet xmlns="http://schemas.openxmlformats.org/spreadsheetml/2006/main" xmlns:r="http://schemas.openxmlformats.org/officeDocument/2006/relationships">
  <sheetPr codeName="Sheet4"/>
  <dimension ref="A1:F48"/>
  <sheetViews>
    <sheetView workbookViewId="0">
      <selection sqref="A1:B2"/>
    </sheetView>
  </sheetViews>
  <sheetFormatPr defaultRowHeight="12.75"/>
  <cols>
    <col min="1" max="1" width="7.5703125" customWidth="1"/>
    <col min="2" max="2" width="53.7109375" customWidth="1"/>
    <col min="3" max="3" width="20.7109375" customWidth="1"/>
    <col min="4" max="4" width="12" customWidth="1"/>
    <col min="5" max="5" width="13" customWidth="1"/>
    <col min="6" max="6" width="64.28515625" customWidth="1"/>
  </cols>
  <sheetData>
    <row r="1" spans="1:6" ht="24.95" customHeight="1">
      <c r="A1" s="357" t="s">
        <v>186</v>
      </c>
      <c r="B1" s="358"/>
      <c r="C1" s="350" t="s">
        <v>114</v>
      </c>
      <c r="D1" s="350" t="s">
        <v>115</v>
      </c>
      <c r="E1" s="350" t="s">
        <v>116</v>
      </c>
      <c r="F1" s="352" t="s">
        <v>117</v>
      </c>
    </row>
    <row r="2" spans="1:6" ht="24.95" customHeight="1">
      <c r="A2" s="359"/>
      <c r="B2" s="360"/>
      <c r="C2" s="351"/>
      <c r="D2" s="351"/>
      <c r="E2" s="351"/>
      <c r="F2" s="353"/>
    </row>
    <row r="3" spans="1:6" s="72" customFormat="1" ht="50.25" customHeight="1">
      <c r="A3" s="74"/>
      <c r="B3" s="75" t="s">
        <v>172</v>
      </c>
      <c r="C3" s="76"/>
      <c r="D3" s="76"/>
      <c r="E3" s="76"/>
      <c r="F3" s="77"/>
    </row>
    <row r="4" spans="1:6" ht="15.75">
      <c r="A4" s="354" t="s">
        <v>118</v>
      </c>
      <c r="B4" s="355"/>
      <c r="C4" s="355"/>
      <c r="D4" s="355"/>
      <c r="E4" s="355"/>
      <c r="F4" s="356"/>
    </row>
    <row r="5" spans="1:6" ht="45">
      <c r="A5" s="78">
        <v>1.1000000000000001</v>
      </c>
      <c r="B5" s="79" t="s">
        <v>119</v>
      </c>
      <c r="C5" s="80"/>
      <c r="D5" s="81"/>
      <c r="E5" s="82"/>
      <c r="F5" s="83" t="s">
        <v>120</v>
      </c>
    </row>
    <row r="6" spans="1:6" ht="60">
      <c r="A6" s="78">
        <v>1.2</v>
      </c>
      <c r="B6" s="79" t="s">
        <v>121</v>
      </c>
      <c r="C6" s="80"/>
      <c r="D6" s="81"/>
      <c r="E6" s="82"/>
      <c r="F6" s="83" t="s">
        <v>122</v>
      </c>
    </row>
    <row r="7" spans="1:6" ht="30">
      <c r="A7" s="78">
        <v>1.3</v>
      </c>
      <c r="B7" s="79" t="s">
        <v>123</v>
      </c>
      <c r="C7" s="80"/>
      <c r="D7" s="81"/>
      <c r="E7" s="82"/>
      <c r="F7" s="84"/>
    </row>
    <row r="8" spans="1:6" ht="60">
      <c r="A8" s="78">
        <v>1.4</v>
      </c>
      <c r="B8" s="79" t="s">
        <v>124</v>
      </c>
      <c r="C8" s="80" t="s">
        <v>175</v>
      </c>
      <c r="D8" s="81"/>
      <c r="E8" s="82"/>
      <c r="F8" s="83" t="s">
        <v>176</v>
      </c>
    </row>
    <row r="9" spans="1:6" ht="45">
      <c r="A9" s="78">
        <v>1.5</v>
      </c>
      <c r="B9" s="79" t="s">
        <v>125</v>
      </c>
      <c r="C9" s="80"/>
      <c r="D9" s="81"/>
      <c r="E9" s="82"/>
      <c r="F9" s="83"/>
    </row>
    <row r="10" spans="1:6" ht="30">
      <c r="A10" s="85">
        <v>1.6</v>
      </c>
      <c r="B10" s="86" t="s">
        <v>174</v>
      </c>
      <c r="C10" s="80"/>
      <c r="D10" s="81"/>
      <c r="E10" s="82"/>
      <c r="F10" s="83" t="s">
        <v>183</v>
      </c>
    </row>
    <row r="11" spans="1:6" ht="30">
      <c r="A11" s="85">
        <v>1.7</v>
      </c>
      <c r="B11" s="79" t="s">
        <v>126</v>
      </c>
      <c r="C11" s="80"/>
      <c r="D11" s="81"/>
      <c r="E11" s="82"/>
      <c r="F11" s="87" t="s">
        <v>127</v>
      </c>
    </row>
    <row r="12" spans="1:6" ht="30">
      <c r="A12" s="88">
        <v>1.8</v>
      </c>
      <c r="B12" s="86" t="s">
        <v>169</v>
      </c>
      <c r="C12" s="80"/>
      <c r="D12" s="89"/>
      <c r="E12" s="90"/>
      <c r="F12" s="83"/>
    </row>
    <row r="13" spans="1:6" ht="105">
      <c r="A13" s="85">
        <v>1.9</v>
      </c>
      <c r="B13" s="79" t="s">
        <v>165</v>
      </c>
      <c r="C13" s="80"/>
      <c r="D13" s="81"/>
      <c r="E13" s="82"/>
      <c r="F13" s="83" t="s">
        <v>128</v>
      </c>
    </row>
    <row r="14" spans="1:6" ht="15.75">
      <c r="A14" s="363" t="s">
        <v>129</v>
      </c>
      <c r="B14" s="355"/>
      <c r="C14" s="355"/>
      <c r="D14" s="355"/>
      <c r="E14" s="355"/>
      <c r="F14" s="356"/>
    </row>
    <row r="15" spans="1:6" ht="60">
      <c r="A15" s="78">
        <v>2.1</v>
      </c>
      <c r="B15" s="79" t="s">
        <v>170</v>
      </c>
      <c r="C15" s="81"/>
      <c r="D15" s="80">
        <v>1</v>
      </c>
      <c r="E15" s="91">
        <v>0</v>
      </c>
      <c r="F15" s="87" t="s">
        <v>130</v>
      </c>
    </row>
    <row r="16" spans="1:6">
      <c r="A16" s="379">
        <v>2.2999999999999998</v>
      </c>
      <c r="B16" s="381" t="s">
        <v>131</v>
      </c>
      <c r="C16" s="383"/>
      <c r="D16" s="361">
        <v>1</v>
      </c>
      <c r="E16" s="386">
        <v>0</v>
      </c>
      <c r="F16" s="385" t="s">
        <v>132</v>
      </c>
    </row>
    <row r="17" spans="1:6" ht="17.25" customHeight="1">
      <c r="A17" s="380"/>
      <c r="B17" s="382"/>
      <c r="C17" s="384"/>
      <c r="D17" s="362"/>
      <c r="E17" s="387"/>
      <c r="F17" s="374"/>
    </row>
    <row r="18" spans="1:6" ht="18.75" customHeight="1">
      <c r="A18" s="92"/>
      <c r="B18" s="93" t="s">
        <v>133</v>
      </c>
      <c r="C18" s="94"/>
      <c r="D18" s="95">
        <v>1</v>
      </c>
      <c r="E18" s="96">
        <v>0</v>
      </c>
      <c r="F18" s="97"/>
    </row>
    <row r="19" spans="1:6" ht="15">
      <c r="A19" s="92"/>
      <c r="B19" s="93" t="s">
        <v>134</v>
      </c>
      <c r="C19" s="94"/>
      <c r="D19" s="95">
        <v>0.5</v>
      </c>
      <c r="E19" s="96">
        <v>0</v>
      </c>
      <c r="F19" s="97"/>
    </row>
    <row r="20" spans="1:6" ht="45">
      <c r="A20" s="98">
        <v>2.4</v>
      </c>
      <c r="B20" s="99" t="s">
        <v>135</v>
      </c>
      <c r="C20" s="100"/>
      <c r="D20" s="101">
        <v>1</v>
      </c>
      <c r="E20" s="102">
        <v>0</v>
      </c>
      <c r="F20" s="103" t="s">
        <v>136</v>
      </c>
    </row>
    <row r="21" spans="1:6" ht="15.75">
      <c r="A21" s="354" t="s">
        <v>137</v>
      </c>
      <c r="B21" s="355"/>
      <c r="C21" s="355"/>
      <c r="D21" s="355"/>
      <c r="E21" s="355"/>
      <c r="F21" s="356"/>
    </row>
    <row r="22" spans="1:6" ht="45">
      <c r="A22" s="88">
        <v>3.1</v>
      </c>
      <c r="B22" s="86" t="s">
        <v>138</v>
      </c>
      <c r="C22" s="81"/>
      <c r="D22" s="104">
        <v>0.5</v>
      </c>
      <c r="E22" s="105">
        <v>0</v>
      </c>
      <c r="F22" s="83" t="s">
        <v>139</v>
      </c>
    </row>
    <row r="23" spans="1:6" ht="30">
      <c r="A23" s="88">
        <v>3.2</v>
      </c>
      <c r="B23" s="86" t="s">
        <v>140</v>
      </c>
      <c r="C23" s="81"/>
      <c r="D23" s="104">
        <v>1</v>
      </c>
      <c r="E23" s="105">
        <v>0</v>
      </c>
      <c r="F23" s="83" t="s">
        <v>141</v>
      </c>
    </row>
    <row r="24" spans="1:6" ht="15">
      <c r="A24" s="88">
        <v>3.4</v>
      </c>
      <c r="B24" s="86" t="s">
        <v>173</v>
      </c>
      <c r="C24" s="81"/>
      <c r="D24" s="104">
        <v>1</v>
      </c>
      <c r="E24" s="105"/>
      <c r="F24" s="83"/>
    </row>
    <row r="25" spans="1:6" ht="15.75">
      <c r="A25" s="354" t="s">
        <v>142</v>
      </c>
      <c r="B25" s="355"/>
      <c r="C25" s="355"/>
      <c r="D25" s="355"/>
      <c r="E25" s="355"/>
      <c r="F25" s="356"/>
    </row>
    <row r="26" spans="1:6" ht="45">
      <c r="A26" s="88">
        <v>4.0999999999999996</v>
      </c>
      <c r="B26" s="86" t="s">
        <v>143</v>
      </c>
      <c r="C26" s="81"/>
      <c r="D26" s="104">
        <v>0.5</v>
      </c>
      <c r="E26" s="105">
        <v>0</v>
      </c>
      <c r="F26" s="83" t="s">
        <v>144</v>
      </c>
    </row>
    <row r="27" spans="1:6" ht="45">
      <c r="A27" s="88">
        <v>4.2</v>
      </c>
      <c r="B27" s="86" t="s">
        <v>145</v>
      </c>
      <c r="C27" s="81"/>
      <c r="D27" s="104">
        <v>1</v>
      </c>
      <c r="E27" s="105">
        <v>0</v>
      </c>
      <c r="F27" s="83" t="s">
        <v>146</v>
      </c>
    </row>
    <row r="28" spans="1:6" ht="30">
      <c r="A28" s="88">
        <v>4.3</v>
      </c>
      <c r="B28" s="86" t="s">
        <v>147</v>
      </c>
      <c r="C28" s="81"/>
      <c r="D28" s="104">
        <v>1</v>
      </c>
      <c r="E28" s="105">
        <v>0</v>
      </c>
      <c r="F28" s="83" t="s">
        <v>148</v>
      </c>
    </row>
    <row r="29" spans="1:6" ht="45">
      <c r="A29" s="88">
        <v>4.4000000000000004</v>
      </c>
      <c r="B29" s="86" t="s">
        <v>149</v>
      </c>
      <c r="C29" s="81"/>
      <c r="D29" s="104">
        <v>0.5</v>
      </c>
      <c r="E29" s="105">
        <v>0</v>
      </c>
      <c r="F29" s="83" t="s">
        <v>150</v>
      </c>
    </row>
    <row r="30" spans="1:6" ht="30">
      <c r="A30" s="106">
        <v>4.5</v>
      </c>
      <c r="B30" s="86" t="s">
        <v>151</v>
      </c>
      <c r="C30" s="81"/>
      <c r="D30" s="104">
        <v>1</v>
      </c>
      <c r="E30" s="104">
        <v>0</v>
      </c>
      <c r="F30" s="83" t="s">
        <v>152</v>
      </c>
    </row>
    <row r="31" spans="1:6" ht="60">
      <c r="A31" s="88">
        <v>4.5999999999999996</v>
      </c>
      <c r="B31" s="86" t="s">
        <v>153</v>
      </c>
      <c r="C31" s="81"/>
      <c r="D31" s="104">
        <v>0.5</v>
      </c>
      <c r="E31" s="105">
        <v>0</v>
      </c>
      <c r="F31" s="87" t="s">
        <v>154</v>
      </c>
    </row>
    <row r="32" spans="1:6" ht="45">
      <c r="A32" s="88">
        <v>4.7</v>
      </c>
      <c r="B32" s="86" t="s">
        <v>155</v>
      </c>
      <c r="C32" s="81"/>
      <c r="D32" s="104">
        <v>1</v>
      </c>
      <c r="E32" s="105">
        <v>0</v>
      </c>
      <c r="F32" s="83" t="s">
        <v>156</v>
      </c>
    </row>
    <row r="33" spans="1:6" ht="45">
      <c r="A33" s="88">
        <v>4.8</v>
      </c>
      <c r="B33" s="79" t="s">
        <v>166</v>
      </c>
      <c r="C33" s="81"/>
      <c r="D33" s="104">
        <v>1</v>
      </c>
      <c r="E33" s="105">
        <v>0</v>
      </c>
      <c r="F33" s="83"/>
    </row>
    <row r="34" spans="1:6" ht="30">
      <c r="A34" s="112">
        <v>4.9000000000000004</v>
      </c>
      <c r="B34" s="107" t="s">
        <v>157</v>
      </c>
      <c r="C34" s="81"/>
      <c r="D34" s="104">
        <v>0.5</v>
      </c>
      <c r="E34" s="113">
        <v>0</v>
      </c>
      <c r="F34" s="97" t="s">
        <v>158</v>
      </c>
    </row>
    <row r="35" spans="1:6" ht="15.75">
      <c r="A35" s="354" t="s">
        <v>159</v>
      </c>
      <c r="B35" s="355"/>
      <c r="C35" s="355"/>
      <c r="D35" s="355"/>
      <c r="E35" s="355"/>
      <c r="F35" s="356"/>
    </row>
    <row r="36" spans="1:6" ht="30">
      <c r="A36" s="88">
        <v>5.0999999999999996</v>
      </c>
      <c r="B36" s="86" t="s">
        <v>184</v>
      </c>
      <c r="C36" s="81"/>
      <c r="D36" s="104">
        <v>0.5</v>
      </c>
      <c r="E36" s="105">
        <v>0</v>
      </c>
      <c r="F36" s="83" t="s">
        <v>160</v>
      </c>
    </row>
    <row r="37" spans="1:6" ht="45">
      <c r="A37" s="88">
        <v>5.2</v>
      </c>
      <c r="B37" s="86" t="s">
        <v>171</v>
      </c>
      <c r="C37" s="81"/>
      <c r="D37" s="104">
        <v>3</v>
      </c>
      <c r="E37" s="105">
        <v>0</v>
      </c>
      <c r="F37" s="83"/>
    </row>
    <row r="38" spans="1:6" ht="15">
      <c r="A38" s="98">
        <v>5.3</v>
      </c>
      <c r="B38" s="99" t="s">
        <v>161</v>
      </c>
      <c r="C38" s="100"/>
      <c r="D38" s="101">
        <v>0.5</v>
      </c>
      <c r="E38" s="102">
        <v>0</v>
      </c>
      <c r="F38" s="103" t="s">
        <v>167</v>
      </c>
    </row>
    <row r="39" spans="1:6" ht="45.75" thickBot="1">
      <c r="A39" s="98">
        <v>5.4</v>
      </c>
      <c r="B39" s="99" t="s">
        <v>168</v>
      </c>
      <c r="C39" s="100"/>
      <c r="D39" s="101">
        <v>3</v>
      </c>
      <c r="E39" s="102">
        <v>0</v>
      </c>
      <c r="F39" s="103" t="s">
        <v>162</v>
      </c>
    </row>
    <row r="40" spans="1:6">
      <c r="A40" s="364" t="s">
        <v>163</v>
      </c>
      <c r="B40" s="365"/>
      <c r="C40" s="366"/>
      <c r="D40" s="376">
        <f>SUM(D36:D39,D26:D34,D22:D24,D15:D20)</f>
        <v>21</v>
      </c>
      <c r="E40" s="376">
        <f>SUM(E36:E39,E26:E34,E22:E24,E15:E20)</f>
        <v>0</v>
      </c>
      <c r="F40" s="373" t="s">
        <v>177</v>
      </c>
    </row>
    <row r="41" spans="1:6">
      <c r="A41" s="367"/>
      <c r="B41" s="368"/>
      <c r="C41" s="369"/>
      <c r="D41" s="377"/>
      <c r="E41" s="377"/>
      <c r="F41" s="374"/>
    </row>
    <row r="42" spans="1:6" ht="56.25" customHeight="1" thickBot="1">
      <c r="A42" s="370"/>
      <c r="B42" s="371"/>
      <c r="C42" s="372"/>
      <c r="D42" s="378"/>
      <c r="E42" s="378"/>
      <c r="F42" s="375"/>
    </row>
    <row r="43" spans="1:6">
      <c r="A43" s="73"/>
      <c r="B43" s="73"/>
      <c r="C43" s="73"/>
      <c r="D43" s="73"/>
      <c r="E43" s="73"/>
      <c r="F43" s="73"/>
    </row>
    <row r="44" spans="1:6" ht="62.25">
      <c r="A44" s="73"/>
      <c r="B44" s="108" t="s">
        <v>185</v>
      </c>
      <c r="C44" s="73"/>
      <c r="D44" s="73"/>
      <c r="E44" s="73"/>
      <c r="F44" s="109" t="s">
        <v>164</v>
      </c>
    </row>
    <row r="45" spans="1:6" ht="75">
      <c r="A45" s="73"/>
      <c r="B45" s="110" t="s">
        <v>180</v>
      </c>
      <c r="C45" s="73"/>
      <c r="D45" s="73"/>
      <c r="E45" s="73"/>
      <c r="F45" s="109" t="s">
        <v>181</v>
      </c>
    </row>
    <row r="46" spans="1:6" ht="15">
      <c r="A46" s="73"/>
      <c r="B46" s="73"/>
      <c r="C46" s="73"/>
      <c r="D46" s="73"/>
      <c r="E46" s="73"/>
      <c r="F46" s="111"/>
    </row>
    <row r="47" spans="1:6" ht="77.25">
      <c r="A47" s="73"/>
      <c r="B47" s="108" t="s">
        <v>178</v>
      </c>
      <c r="C47" s="73"/>
      <c r="D47" s="73"/>
      <c r="E47" s="73"/>
      <c r="F47" s="73"/>
    </row>
    <row r="48" spans="1:6" ht="60">
      <c r="A48" s="73"/>
      <c r="B48" s="110" t="s">
        <v>179</v>
      </c>
      <c r="C48" s="73"/>
      <c r="D48" s="73"/>
      <c r="E48" s="73"/>
      <c r="F48" s="73"/>
    </row>
  </sheetData>
  <mergeCells count="20">
    <mergeCell ref="A40:C42"/>
    <mergeCell ref="F40:F42"/>
    <mergeCell ref="D40:D42"/>
    <mergeCell ref="E40:E42"/>
    <mergeCell ref="A16:A17"/>
    <mergeCell ref="B16:B17"/>
    <mergeCell ref="C16:C17"/>
    <mergeCell ref="F16:F17"/>
    <mergeCell ref="E16:E17"/>
    <mergeCell ref="A35:F35"/>
    <mergeCell ref="E1:E2"/>
    <mergeCell ref="F1:F2"/>
    <mergeCell ref="A21:F21"/>
    <mergeCell ref="A25:F25"/>
    <mergeCell ref="D1:D2"/>
    <mergeCell ref="C1:C2"/>
    <mergeCell ref="A1:B2"/>
    <mergeCell ref="D16:D17"/>
    <mergeCell ref="A4:F4"/>
    <mergeCell ref="A14:F1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Questions</vt:lpstr>
      <vt:lpstr>Scorecard Chart</vt:lpstr>
      <vt:lpstr>Pursuit Cost</vt:lpstr>
      <vt:lpstr>Design Build  Scorecard</vt:lpstr>
      <vt:lpstr>'Scorecard Chart'!AttValue1</vt:lpstr>
      <vt:lpstr>'Scorecard Chart'!AttValue2</vt:lpstr>
      <vt:lpstr>'Scorecard Chart'!AttValue3</vt:lpstr>
      <vt:lpstr>'Scorecard Chart'!AttValue4</vt:lpstr>
      <vt:lpstr>'Scorecard Chart'!AttValue5</vt:lpstr>
      <vt:lpstr>'Pursuit Cost'!Print_Area</vt:lpstr>
      <vt:lpstr>Questions!Print_Area</vt:lpstr>
      <vt:lpstr>'Scorecard Chart'!Print_Area</vt:lpstr>
      <vt:lpstr>'Scorecard Chart'!StrValue1</vt:lpstr>
      <vt:lpstr>'Scorecard Chart'!StrValue2</vt:lpstr>
      <vt:lpstr>'Scorecard Chart'!StrValue3</vt:lpstr>
    </vt:vector>
  </TitlesOfParts>
  <Company>Sverdrup Facilities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TechSystems</dc:creator>
  <cp:lastModifiedBy>Diane Fencl</cp:lastModifiedBy>
  <cp:lastPrinted>2011-08-02T15:50:24Z</cp:lastPrinted>
  <dcterms:created xsi:type="dcterms:W3CDTF">1998-02-03T14:34:37Z</dcterms:created>
  <dcterms:modified xsi:type="dcterms:W3CDTF">2012-03-01T17:45:53Z</dcterms:modified>
</cp:coreProperties>
</file>